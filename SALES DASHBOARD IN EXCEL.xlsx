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7d332f18f6ccd72c/ドキュメント/GITHUB FILES/"/>
    </mc:Choice>
  </mc:AlternateContent>
  <xr:revisionPtr revIDLastSave="2" documentId="13_ncr:1_{4453C1F7-8465-4EDA-8002-13B438308AE5}" xr6:coauthVersionLast="47" xr6:coauthVersionMax="47" xr10:uidLastSave="{86543E36-5BF9-4413-A781-94A8FEEEE419}"/>
  <bookViews>
    <workbookView xWindow="-108" yWindow="-108" windowWidth="23256" windowHeight="12456" xr2:uid="{35C571EB-F7D9-4E9C-9AFC-816A750F27B5}"/>
  </bookViews>
  <sheets>
    <sheet name="DASHBOARD" sheetId="3" r:id="rId1"/>
    <sheet name="DATA" sheetId="1" r:id="rId2"/>
    <sheet name="PIVOT TABLE AND WORKINGS" sheetId="2" r:id="rId3"/>
  </sheets>
  <definedNames>
    <definedName name="_xlcn.WorksheetConnection_DASHBOARDDATA2.xlsxTable11" hidden="1">Table1[]</definedName>
    <definedName name="Slicer_PRODUCT_CATEGORY">#N/A</definedName>
    <definedName name="Slicer_REGION">#N/A</definedName>
    <definedName name="Slicer_SALES_PERSON">#N/A</definedName>
    <definedName name="Timeline_DATE">#N/A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SHBOARD DATA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1" l="1"/>
  <c r="F46" i="1"/>
  <c r="H46" i="1" s="1"/>
  <c r="I46" i="1" s="1"/>
  <c r="G45" i="1"/>
  <c r="F45" i="1"/>
  <c r="H45" i="1" s="1"/>
  <c r="G44" i="1"/>
  <c r="F44" i="1"/>
  <c r="H44" i="1" s="1"/>
  <c r="I44" i="1" s="1"/>
  <c r="G43" i="1"/>
  <c r="F43" i="1"/>
  <c r="H43" i="1" s="1"/>
  <c r="G42" i="1"/>
  <c r="F42" i="1"/>
  <c r="H42" i="1" s="1"/>
  <c r="I42" i="1" s="1"/>
  <c r="G41" i="1"/>
  <c r="F41" i="1"/>
  <c r="H41" i="1" s="1"/>
  <c r="I41" i="1" s="1"/>
  <c r="G40" i="1"/>
  <c r="F40" i="1"/>
  <c r="H40" i="1" s="1"/>
  <c r="I40" i="1" s="1"/>
  <c r="G39" i="1"/>
  <c r="F39" i="1"/>
  <c r="H39" i="1" s="1"/>
  <c r="I39" i="1" s="1"/>
  <c r="G38" i="1"/>
  <c r="F38" i="1"/>
  <c r="H38" i="1" s="1"/>
  <c r="I38" i="1" s="1"/>
  <c r="G37" i="1"/>
  <c r="F37" i="1"/>
  <c r="H37" i="1" s="1"/>
  <c r="G36" i="1"/>
  <c r="F36" i="1"/>
  <c r="H36" i="1" s="1"/>
  <c r="I36" i="1" s="1"/>
  <c r="G35" i="1"/>
  <c r="F35" i="1"/>
  <c r="H35" i="1" s="1"/>
  <c r="I35" i="1" s="1"/>
  <c r="G34" i="1"/>
  <c r="F34" i="1"/>
  <c r="H34" i="1" s="1"/>
  <c r="I34" i="1" s="1"/>
  <c r="G33" i="1"/>
  <c r="F33" i="1"/>
  <c r="H33" i="1" s="1"/>
  <c r="I33" i="1" s="1"/>
  <c r="G32" i="1"/>
  <c r="F32" i="1"/>
  <c r="H32" i="1" s="1"/>
  <c r="I32" i="1" s="1"/>
  <c r="G31" i="1"/>
  <c r="F31" i="1"/>
  <c r="H31" i="1" s="1"/>
  <c r="G30" i="1"/>
  <c r="F30" i="1"/>
  <c r="H30" i="1" s="1"/>
  <c r="I30" i="1" s="1"/>
  <c r="G29" i="1"/>
  <c r="F29" i="1"/>
  <c r="H29" i="1" s="1"/>
  <c r="I29" i="1" s="1"/>
  <c r="G28" i="1"/>
  <c r="F28" i="1"/>
  <c r="H28" i="1" s="1"/>
  <c r="I28" i="1" s="1"/>
  <c r="G27" i="1"/>
  <c r="F27" i="1"/>
  <c r="H27" i="1" s="1"/>
  <c r="I27" i="1" s="1"/>
  <c r="G26" i="1"/>
  <c r="F26" i="1"/>
  <c r="H26" i="1" s="1"/>
  <c r="I26" i="1" s="1"/>
  <c r="G25" i="1"/>
  <c r="F25" i="1"/>
  <c r="H25" i="1" s="1"/>
  <c r="G24" i="1"/>
  <c r="F24" i="1"/>
  <c r="H24" i="1" s="1"/>
  <c r="I24" i="1" s="1"/>
  <c r="G23" i="1"/>
  <c r="F23" i="1"/>
  <c r="H23" i="1" s="1"/>
  <c r="I23" i="1" s="1"/>
  <c r="G22" i="1"/>
  <c r="F22" i="1"/>
  <c r="H22" i="1" s="1"/>
  <c r="I22" i="1" s="1"/>
  <c r="G21" i="1"/>
  <c r="F21" i="1"/>
  <c r="H21" i="1" s="1"/>
  <c r="I21" i="1" s="1"/>
  <c r="G20" i="1"/>
  <c r="F20" i="1"/>
  <c r="H20" i="1" s="1"/>
  <c r="I20" i="1" s="1"/>
  <c r="G19" i="1"/>
  <c r="F19" i="1"/>
  <c r="H19" i="1" s="1"/>
  <c r="G18" i="1"/>
  <c r="F18" i="1"/>
  <c r="H18" i="1" s="1"/>
  <c r="I18" i="1" s="1"/>
  <c r="G17" i="1"/>
  <c r="F17" i="1"/>
  <c r="H17" i="1" s="1"/>
  <c r="I17" i="1" s="1"/>
  <c r="G16" i="1"/>
  <c r="F16" i="1"/>
  <c r="H16" i="1" s="1"/>
  <c r="I16" i="1" s="1"/>
  <c r="G15" i="1"/>
  <c r="F15" i="1"/>
  <c r="H15" i="1" s="1"/>
  <c r="I15" i="1" s="1"/>
  <c r="G14" i="1"/>
  <c r="F14" i="1"/>
  <c r="H14" i="1" s="1"/>
  <c r="I14" i="1" s="1"/>
  <c r="G13" i="1"/>
  <c r="F13" i="1"/>
  <c r="H13" i="1" s="1"/>
  <c r="G12" i="1"/>
  <c r="F12" i="1"/>
  <c r="H12" i="1" s="1"/>
  <c r="I12" i="1" s="1"/>
  <c r="G11" i="1"/>
  <c r="F11" i="1"/>
  <c r="H11" i="1" s="1"/>
  <c r="I11" i="1" s="1"/>
  <c r="G10" i="1"/>
  <c r="F10" i="1"/>
  <c r="H10" i="1" s="1"/>
  <c r="I10" i="1" s="1"/>
  <c r="G9" i="1"/>
  <c r="F9" i="1"/>
  <c r="H9" i="1" s="1"/>
  <c r="I9" i="1" s="1"/>
  <c r="G8" i="1"/>
  <c r="F8" i="1"/>
  <c r="H8" i="1" s="1"/>
  <c r="I8" i="1" s="1"/>
  <c r="G7" i="1"/>
  <c r="F7" i="1"/>
  <c r="H7" i="1" s="1"/>
  <c r="K6" i="1"/>
  <c r="G6" i="1"/>
  <c r="F6" i="1"/>
  <c r="H6" i="1" s="1"/>
  <c r="I6" i="1" s="1"/>
  <c r="G5" i="1"/>
  <c r="F5" i="1"/>
  <c r="H5" i="1" s="1"/>
  <c r="I5" i="1" s="1"/>
  <c r="G4" i="1"/>
  <c r="F4" i="1"/>
  <c r="H4" i="1" s="1"/>
  <c r="I4" i="1" s="1"/>
  <c r="G3" i="1"/>
  <c r="F3" i="1"/>
  <c r="H3" i="1" s="1"/>
  <c r="I3" i="1" s="1"/>
  <c r="G2" i="1"/>
  <c r="F2" i="1"/>
  <c r="H2" i="1" s="1"/>
  <c r="I7" i="1" l="1"/>
  <c r="I13" i="1"/>
  <c r="I19" i="1"/>
  <c r="I25" i="1"/>
  <c r="I31" i="1"/>
  <c r="I37" i="1"/>
  <c r="I43" i="1"/>
  <c r="I45" i="1"/>
  <c r="K10" i="1"/>
  <c r="I2" i="1"/>
  <c r="K8" i="1" s="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EE096B-2BA2-4559-9336-1E4386B6F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D83303-F43B-4647-B04F-C41DF56DBACC}" name="WorksheetConnection_DASHBOARD DATA 2.xlsx!Table1" type="102" refreshedVersion="8" minRefreshableVersion="5">
    <extLst>
      <ext xmlns:x15="http://schemas.microsoft.com/office/spreadsheetml/2010/11/main" uri="{DE250136-89BD-433C-8126-D09CA5730AF9}">
        <x15:connection id="Table1" autoDelete="1">
          <x15:rangePr sourceName="_xlcn.WorksheetConnection_DASHBOARDDATA2.xlsxTable11"/>
        </x15:connection>
      </ext>
    </extLst>
  </connection>
</connections>
</file>

<file path=xl/sharedStrings.xml><?xml version="1.0" encoding="utf-8"?>
<sst xmlns="http://schemas.openxmlformats.org/spreadsheetml/2006/main" count="182" uniqueCount="31">
  <si>
    <t>DATE</t>
  </si>
  <si>
    <t>SALES PERSON</t>
  </si>
  <si>
    <t>REGION</t>
  </si>
  <si>
    <t>PRODUCT CATEGORY</t>
  </si>
  <si>
    <t>UNITS SOLD</t>
  </si>
  <si>
    <t>UNIT PRICE</t>
  </si>
  <si>
    <t>COST OF GOODS SOLD</t>
  </si>
  <si>
    <t>TOTAL SALES</t>
  </si>
  <si>
    <t>PROFIT</t>
  </si>
  <si>
    <t>JACOB</t>
  </si>
  <si>
    <t>NORTH</t>
  </si>
  <si>
    <t>HOME APPLIANCES</t>
  </si>
  <si>
    <t>JOHN</t>
  </si>
  <si>
    <t>SOUTH</t>
  </si>
  <si>
    <t>ELECTRONICS</t>
  </si>
  <si>
    <t>WILL</t>
  </si>
  <si>
    <t>WEST</t>
  </si>
  <si>
    <t>COSMETICS</t>
  </si>
  <si>
    <t>RON</t>
  </si>
  <si>
    <t>CLOTHING</t>
  </si>
  <si>
    <t>SAM</t>
  </si>
  <si>
    <t>STATIONERY</t>
  </si>
  <si>
    <t>GROCERY</t>
  </si>
  <si>
    <t>EAST</t>
  </si>
  <si>
    <t>AVG SALES</t>
  </si>
  <si>
    <t>SMITH</t>
  </si>
  <si>
    <t>Row Labels</t>
  </si>
  <si>
    <t>Grand Total</t>
  </si>
  <si>
    <t>Sum of TOTAL SALES</t>
  </si>
  <si>
    <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</si>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</sst>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2" borderId="0" xfId="0" applyFont="1" applyFill="1"/>
    <xf numFmtId="1"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EXCEL.xlsx]PIVOT TABLE AND WORKINGS!PivotTable1</c:name>
    <c:fmtId val="3"/>
  </c:pivotSource>
  <c:chart>
    <c:title>
      <c:tx>
        <c:rich>
          <a:bodyPr rot="0" spcFirstLastPara="1" vertOverflow="ellipsis" vert="horz" wrap="square" anchor="ctr" anchorCtr="1"/>
          <a:lstStyle/>
          <a:p>
            <a:pPr>
              <a:defRPr sz="1800" b="0" i="0" u="none" strike="noStrike" kern="1200" spc="0" baseline="0">
                <a:solidFill>
                  <a:srgbClr val="C00000"/>
                </a:solidFill>
                <a:latin typeface="Algerian" panose="04020705040A02060702" pitchFamily="82" charset="0"/>
                <a:ea typeface="+mn-ea"/>
                <a:cs typeface="Arial" panose="020B0604020202020204" pitchFamily="34" charset="0"/>
              </a:defRPr>
            </a:pPr>
            <a:r>
              <a:rPr lang="en-US" sz="1800">
                <a:solidFill>
                  <a:srgbClr val="C00000"/>
                </a:solidFill>
                <a:latin typeface="Algerian" panose="04020705040A02060702" pitchFamily="82" charset="0"/>
                <a:cs typeface="Arial" panose="020B0604020202020204" pitchFamily="34" charset="0"/>
              </a:rPr>
              <a:t>TOTAL</a:t>
            </a:r>
            <a:r>
              <a:rPr lang="en-US" sz="1800" baseline="0">
                <a:solidFill>
                  <a:srgbClr val="C00000"/>
                </a:solidFill>
                <a:latin typeface="Algerian" panose="04020705040A02060702" pitchFamily="82" charset="0"/>
                <a:cs typeface="Arial" panose="020B0604020202020204" pitchFamily="34" charset="0"/>
              </a:rPr>
              <a:t> SALES BY SALESPERSON</a:t>
            </a:r>
            <a:endParaRPr lang="en-US" sz="1800">
              <a:solidFill>
                <a:srgbClr val="C00000"/>
              </a:solidFill>
              <a:latin typeface="Algerian" panose="04020705040A02060702" pitchFamily="82"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C00000"/>
              </a:solidFill>
              <a:latin typeface="Algerian" panose="04020705040A02060702" pitchFamily="82"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WORKINGS'!$B$3</c:f>
              <c:strCache>
                <c:ptCount val="1"/>
                <c:pt idx="0">
                  <c:v>Total</c:v>
                </c:pt>
              </c:strCache>
            </c:strRef>
          </c:tx>
          <c:spPr>
            <a:solidFill>
              <a:srgbClr val="C00000"/>
            </a:solidFill>
            <a:ln>
              <a:noFill/>
            </a:ln>
            <a:effectLst/>
          </c:spPr>
          <c:invertIfNegative val="0"/>
          <c:cat>
            <c:strRef>
              <c:f>'PIVOT TABLE AND WORKINGS'!$A$4:$A$10</c:f>
              <c:strCache>
                <c:ptCount val="6"/>
                <c:pt idx="0">
                  <c:v>JACOB</c:v>
                </c:pt>
                <c:pt idx="1">
                  <c:v>JOHN</c:v>
                </c:pt>
                <c:pt idx="2">
                  <c:v>RON</c:v>
                </c:pt>
                <c:pt idx="3">
                  <c:v>SAM</c:v>
                </c:pt>
                <c:pt idx="4">
                  <c:v>SMITH</c:v>
                </c:pt>
                <c:pt idx="5">
                  <c:v>WILL</c:v>
                </c:pt>
              </c:strCache>
            </c:strRef>
          </c:cat>
          <c:val>
            <c:numRef>
              <c:f>'PIVOT TABLE AND WORKINGS'!$B$4:$B$10</c:f>
              <c:numCache>
                <c:formatCode>General</c:formatCode>
                <c:ptCount val="6"/>
                <c:pt idx="0">
                  <c:v>1270250</c:v>
                </c:pt>
                <c:pt idx="1">
                  <c:v>1264300</c:v>
                </c:pt>
                <c:pt idx="2">
                  <c:v>833650</c:v>
                </c:pt>
                <c:pt idx="3">
                  <c:v>622350</c:v>
                </c:pt>
                <c:pt idx="4">
                  <c:v>586800</c:v>
                </c:pt>
                <c:pt idx="5">
                  <c:v>811500</c:v>
                </c:pt>
              </c:numCache>
            </c:numRef>
          </c:val>
          <c:extLst>
            <c:ext xmlns:c16="http://schemas.microsoft.com/office/drawing/2014/chart" uri="{C3380CC4-5D6E-409C-BE32-E72D297353CC}">
              <c16:uniqueId val="{00000001-9D3C-4928-9B4B-333A8AE65A78}"/>
            </c:ext>
          </c:extLst>
        </c:ser>
        <c:dLbls>
          <c:showLegendKey val="0"/>
          <c:showVal val="0"/>
          <c:showCatName val="0"/>
          <c:showSerName val="0"/>
          <c:showPercent val="0"/>
          <c:showBubbleSize val="0"/>
        </c:dLbls>
        <c:gapWidth val="219"/>
        <c:overlap val="-27"/>
        <c:axId val="497867887"/>
        <c:axId val="497855407"/>
      </c:barChart>
      <c:catAx>
        <c:axId val="49786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55407"/>
        <c:crosses val="autoZero"/>
        <c:auto val="1"/>
        <c:lblAlgn val="ctr"/>
        <c:lblOffset val="100"/>
        <c:noMultiLvlLbl val="0"/>
      </c:catAx>
      <c:valAx>
        <c:axId val="4978554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786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[SALES DASHBOARD IN EXCEL.xlsx]PIVOT TABLE AND WORKINGS!PivotTable2</c:name>
    <c:fmtId val="3"/>
  </c:pivotSource>
  <c:chart>
    <c:title>
      <c:tx>
        <c:rich>
          <a:bodyPr rot="0" spcFirstLastPara="1" vertOverflow="ellipsis" vert="horz" wrap="square" anchor="ctr" anchorCtr="1"/>
          <a:lstStyle/>
          <a:p>
            <a:pPr algn="ctr" rtl="0">
              <a:defRPr lang="en-US" sz="1800" b="0" i="0" u="none" strike="noStrike" kern="1200" spc="0" baseline="0">
                <a:solidFill>
                  <a:srgbClr val="C00000"/>
                </a:solidFill>
                <a:latin typeface="Algerian" panose="04020705040A02060702" pitchFamily="82" charset="0"/>
                <a:ea typeface="+mn-ea"/>
                <a:cs typeface="Arial" panose="020B0604020202020204" pitchFamily="34" charset="0"/>
              </a:defRPr>
            </a:pPr>
            <a:r>
              <a:rPr lang="en-US" sz="1800" b="0" i="0" u="none" strike="noStrike" kern="1200" spc="0" baseline="0">
                <a:solidFill>
                  <a:srgbClr val="C00000"/>
                </a:solidFill>
                <a:latin typeface="Algerian" panose="04020705040A02060702" pitchFamily="82" charset="0"/>
                <a:ea typeface="+mn-ea"/>
                <a:cs typeface="Arial" panose="020B0604020202020204" pitchFamily="34" charset="0"/>
              </a:rPr>
              <a:t>SALES  BY REGION</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rgbClr val="C00000"/>
              </a:solidFill>
              <a:latin typeface="Algerian" panose="04020705040A02060702" pitchFamily="82" charset="0"/>
              <a:ea typeface="+mn-ea"/>
              <a:cs typeface="Arial" panose="020B0604020202020204" pitchFamily="34"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doughnutChart>
        <c:varyColors val="1"/>
        <c:ser>
          <c:idx val="0"/>
          <c:order val="0"/>
          <c:tx>
            <c:strRef>
              <c:f>'PIVOT TABLE AND WORKINGS'!$D$3</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0DF9-44DB-ADFF-047DA308042C}"/>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0DF9-44DB-ADFF-047DA308042C}"/>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0DF9-44DB-ADFF-047DA308042C}"/>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0DF9-44DB-ADFF-047DA308042C}"/>
              </c:ext>
            </c:extLst>
          </c:dPt>
          <c:cat>
            <c:strRef>
              <c:f>'PIVOT TABLE AND WORKINGS'!$C$4:$C$8</c:f>
              <c:strCache>
                <c:ptCount val="4"/>
                <c:pt idx="0">
                  <c:v>EAST</c:v>
                </c:pt>
                <c:pt idx="1">
                  <c:v>NORTH</c:v>
                </c:pt>
                <c:pt idx="2">
                  <c:v>SOUTH</c:v>
                </c:pt>
                <c:pt idx="3">
                  <c:v>WEST</c:v>
                </c:pt>
              </c:strCache>
            </c:strRef>
          </c:cat>
          <c:val>
            <c:numRef>
              <c:f>'PIVOT TABLE AND WORKINGS'!$D$4:$D$8</c:f>
              <c:numCache>
                <c:formatCode>General</c:formatCode>
                <c:ptCount val="4"/>
                <c:pt idx="0">
                  <c:v>1333500</c:v>
                </c:pt>
                <c:pt idx="1">
                  <c:v>1436400</c:v>
                </c:pt>
                <c:pt idx="2">
                  <c:v>1278150</c:v>
                </c:pt>
                <c:pt idx="3">
                  <c:v>1340800</c:v>
                </c:pt>
              </c:numCache>
            </c:numRef>
          </c:val>
          <c:extLst>
            <c:ext xmlns:c16="http://schemas.microsoft.com/office/drawing/2014/chart" uri="{C3380CC4-5D6E-409C-BE32-E72D297353CC}">
              <c16:uniqueId val="{00000009-9C8A-4145-BF4B-220B9068AE3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EXCEL.xlsx]PIVOT TABLE AND WORKINGS!PivotTable3</c:name>
    <c:fmtId val="3"/>
  </c:pivotSource>
  <c:chart>
    <c:title>
      <c:tx>
        <c:rich>
          <a:bodyPr rot="0" spcFirstLastPara="1" vertOverflow="ellipsis" vert="horz" wrap="square" anchor="ctr" anchorCtr="1"/>
          <a:lstStyle/>
          <a:p>
            <a:pPr algn="ctr" rtl="0">
              <a:defRPr lang="en-US" sz="1600" b="0" i="0" u="none" strike="noStrike" kern="1200" cap="none" spc="0" baseline="0">
                <a:solidFill>
                  <a:srgbClr val="C00000"/>
                </a:solidFill>
                <a:latin typeface="Algerian" panose="04020705040A02060702" pitchFamily="82" charset="0"/>
                <a:ea typeface="+mn-ea"/>
                <a:cs typeface="Arial" panose="020B0604020202020204" pitchFamily="34" charset="0"/>
              </a:defRPr>
            </a:pPr>
            <a:r>
              <a:rPr lang="en-US" sz="1600" b="0" i="0" u="none" strike="noStrike" kern="1200" spc="0" baseline="0">
                <a:solidFill>
                  <a:srgbClr val="C00000"/>
                </a:solidFill>
                <a:latin typeface="Algerian" panose="04020705040A02060702" pitchFamily="82" charset="0"/>
                <a:ea typeface="+mn-ea"/>
                <a:cs typeface="Arial" panose="020B0604020202020204" pitchFamily="34" charset="0"/>
              </a:rPr>
              <a:t>TOTAL SALES BY PRODUCT CATEGORY</a:t>
            </a:r>
          </a:p>
        </c:rich>
      </c:tx>
      <c:overlay val="0"/>
      <c:spPr>
        <a:noFill/>
        <a:ln>
          <a:noFill/>
        </a:ln>
        <a:effectLst/>
      </c:spPr>
      <c:txPr>
        <a:bodyPr rot="0" spcFirstLastPara="1" vertOverflow="ellipsis" vert="horz" wrap="square" anchor="ctr" anchorCtr="1"/>
        <a:lstStyle/>
        <a:p>
          <a:pPr algn="ctr" rtl="0">
            <a:defRPr lang="en-US" sz="1600" b="0" i="0" u="none" strike="noStrike" kern="1200" cap="none" spc="0" baseline="0">
              <a:solidFill>
                <a:srgbClr val="C00000"/>
              </a:solidFill>
              <a:latin typeface="Algerian" panose="04020705040A02060702" pitchFamily="82"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C0000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WORKINGS'!$F$3</c:f>
              <c:strCache>
                <c:ptCount val="1"/>
                <c:pt idx="0">
                  <c:v>Total</c:v>
                </c:pt>
              </c:strCache>
            </c:strRef>
          </c:tx>
          <c:spPr>
            <a:ln w="22225" cap="rnd" cmpd="sng" algn="ctr">
              <a:solidFill>
                <a:srgbClr val="C00000"/>
              </a:solidFill>
              <a:round/>
            </a:ln>
            <a:effectLst/>
          </c:spPr>
          <c:marker>
            <c:symbol val="circle"/>
            <c:size val="4"/>
            <c:spPr>
              <a:solidFill>
                <a:schemeClr val="accent1"/>
              </a:solidFill>
              <a:ln w="9525" cap="flat" cmpd="sng" algn="ctr">
                <a:solidFill>
                  <a:schemeClr val="accent1"/>
                </a:solidFill>
                <a:round/>
              </a:ln>
              <a:effectLst/>
            </c:spPr>
          </c:marker>
          <c:cat>
            <c:strRef>
              <c:f>'PIVOT TABLE AND WORKINGS'!$E$4:$E$10</c:f>
              <c:strCache>
                <c:ptCount val="6"/>
                <c:pt idx="0">
                  <c:v>COSMETICS</c:v>
                </c:pt>
                <c:pt idx="1">
                  <c:v>HOME APPLIANCES</c:v>
                </c:pt>
                <c:pt idx="2">
                  <c:v>CLOTHING</c:v>
                </c:pt>
                <c:pt idx="3">
                  <c:v>ELECTRONICS</c:v>
                </c:pt>
                <c:pt idx="4">
                  <c:v>STATIONERY</c:v>
                </c:pt>
                <c:pt idx="5">
                  <c:v>GROCERY</c:v>
                </c:pt>
              </c:strCache>
            </c:strRef>
          </c:cat>
          <c:val>
            <c:numRef>
              <c:f>'PIVOT TABLE AND WORKINGS'!$F$4:$F$10</c:f>
              <c:numCache>
                <c:formatCode>General</c:formatCode>
                <c:ptCount val="6"/>
                <c:pt idx="0">
                  <c:v>287500</c:v>
                </c:pt>
                <c:pt idx="1">
                  <c:v>3270000</c:v>
                </c:pt>
                <c:pt idx="2">
                  <c:v>536000</c:v>
                </c:pt>
                <c:pt idx="3">
                  <c:v>1218000</c:v>
                </c:pt>
                <c:pt idx="4">
                  <c:v>27650</c:v>
                </c:pt>
                <c:pt idx="5">
                  <c:v>49700</c:v>
                </c:pt>
              </c:numCache>
            </c:numRef>
          </c:val>
          <c:smooth val="0"/>
          <c:extLst>
            <c:ext xmlns:c16="http://schemas.microsoft.com/office/drawing/2014/chart" uri="{C3380CC4-5D6E-409C-BE32-E72D297353CC}">
              <c16:uniqueId val="{00000001-340A-462F-998C-5410AE4F6A60}"/>
            </c:ext>
          </c:extLst>
        </c:ser>
        <c:dLbls>
          <c:showLegendKey val="0"/>
          <c:showVal val="0"/>
          <c:showCatName val="0"/>
          <c:showSerName val="0"/>
          <c:showPercent val="0"/>
          <c:showBubbleSize val="0"/>
        </c:dLbls>
        <c:dropLines>
          <c:spPr>
            <a:ln w="9525" cap="flat" cmpd="sng" algn="ctr">
              <a:solidFill>
                <a:schemeClr val="accent2">
                  <a:lumMod val="60000"/>
                  <a:lumOff val="40000"/>
                  <a:alpha val="33000"/>
                </a:schemeClr>
              </a:solidFill>
              <a:round/>
            </a:ln>
            <a:effectLst/>
          </c:spPr>
        </c:dropLines>
        <c:marker val="1"/>
        <c:smooth val="0"/>
        <c:axId val="317740319"/>
        <c:axId val="318436175"/>
      </c:lineChart>
      <c:catAx>
        <c:axId val="3177403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8436175"/>
        <c:crosses val="autoZero"/>
        <c:auto val="1"/>
        <c:lblAlgn val="ctr"/>
        <c:lblOffset val="100"/>
        <c:noMultiLvlLbl val="0"/>
      </c:catAx>
      <c:valAx>
        <c:axId val="318436175"/>
        <c:scaling>
          <c:orientation val="minMax"/>
        </c:scaling>
        <c:delete val="1"/>
        <c:axPos val="l"/>
        <c:numFmt formatCode="General" sourceLinked="1"/>
        <c:majorTickMark val="none"/>
        <c:minorTickMark val="none"/>
        <c:tickLblPos val="nextTo"/>
        <c:crossAx val="317740319"/>
        <c:crosses val="autoZero"/>
        <c:crossBetween val="between"/>
      </c:valAx>
      <c:spPr>
        <a:solidFill>
          <a:schemeClr val="accent2">
            <a:lumMod val="20000"/>
            <a:lumOff val="80000"/>
            <a:alpha val="36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EXCEL.xlsx]PIVOT TABLE AND WORKINGS!PivotTable4</c:name>
    <c:fmtId val="3"/>
  </c:pivotSource>
  <c:chart>
    <c:title>
      <c:tx>
        <c:rich>
          <a:bodyPr rot="0" spcFirstLastPara="1" vertOverflow="ellipsis" vert="horz" wrap="square" anchor="ctr" anchorCtr="1"/>
          <a:lstStyle/>
          <a:p>
            <a:pPr algn="ctr" rtl="0">
              <a:defRPr lang="en-US" sz="1800" b="0" i="0" u="none" strike="noStrike" kern="1200" spc="0" baseline="0">
                <a:solidFill>
                  <a:srgbClr val="C00000"/>
                </a:solidFill>
                <a:latin typeface="Algerian" panose="04020705040A02060702" pitchFamily="82" charset="0"/>
                <a:ea typeface="+mn-ea"/>
                <a:cs typeface="Arial" panose="020B0604020202020204" pitchFamily="34" charset="0"/>
              </a:defRPr>
            </a:pPr>
            <a:r>
              <a:rPr lang="en-US" sz="1800" b="0" i="0" u="none" strike="noStrike" kern="1200" spc="0" baseline="0">
                <a:solidFill>
                  <a:srgbClr val="C00000"/>
                </a:solidFill>
                <a:latin typeface="Algerian" panose="04020705040A02060702" pitchFamily="82" charset="0"/>
                <a:ea typeface="+mn-ea"/>
                <a:cs typeface="Arial" panose="020B0604020202020204" pitchFamily="34" charset="0"/>
              </a:rPr>
              <a:t>PRODUCT CATEGORY BY UNITS SOLD</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rgbClr val="C00000"/>
              </a:solidFill>
              <a:latin typeface="Algerian" panose="04020705040A02060702" pitchFamily="82"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WORKINGS'!$H$3</c:f>
              <c:strCache>
                <c:ptCount val="1"/>
                <c:pt idx="0">
                  <c:v>Total</c:v>
                </c:pt>
              </c:strCache>
            </c:strRef>
          </c:tx>
          <c:spPr>
            <a:solidFill>
              <a:srgbClr val="C00000"/>
            </a:solidFill>
            <a:ln>
              <a:noFill/>
            </a:ln>
            <a:effectLst/>
          </c:spPr>
          <c:invertIfNegative val="0"/>
          <c:cat>
            <c:strRef>
              <c:f>'PIVOT TABLE AND WORKINGS'!$G$4:$G$10</c:f>
              <c:strCache>
                <c:ptCount val="6"/>
                <c:pt idx="0">
                  <c:v>CLOTHING</c:v>
                </c:pt>
                <c:pt idx="1">
                  <c:v>COSMETICS</c:v>
                </c:pt>
                <c:pt idx="2">
                  <c:v>ELECTRONICS</c:v>
                </c:pt>
                <c:pt idx="3">
                  <c:v>GROCERY</c:v>
                </c:pt>
                <c:pt idx="4">
                  <c:v>HOME APPLIANCES</c:v>
                </c:pt>
                <c:pt idx="5">
                  <c:v>STATIONERY</c:v>
                </c:pt>
              </c:strCache>
            </c:strRef>
          </c:cat>
          <c:val>
            <c:numRef>
              <c:f>'PIVOT TABLE AND WORKINGS'!$H$4:$H$10</c:f>
              <c:numCache>
                <c:formatCode>General</c:formatCode>
                <c:ptCount val="6"/>
                <c:pt idx="0">
                  <c:v>536</c:v>
                </c:pt>
                <c:pt idx="1">
                  <c:v>575</c:v>
                </c:pt>
                <c:pt idx="2">
                  <c:v>609</c:v>
                </c:pt>
                <c:pt idx="3">
                  <c:v>497</c:v>
                </c:pt>
                <c:pt idx="4">
                  <c:v>654</c:v>
                </c:pt>
                <c:pt idx="5">
                  <c:v>553</c:v>
                </c:pt>
              </c:numCache>
            </c:numRef>
          </c:val>
          <c:extLst>
            <c:ext xmlns:c16="http://schemas.microsoft.com/office/drawing/2014/chart" uri="{C3380CC4-5D6E-409C-BE32-E72D297353CC}">
              <c16:uniqueId val="{00000001-C6BF-498F-8C54-A137867017A3}"/>
            </c:ext>
          </c:extLst>
        </c:ser>
        <c:dLbls>
          <c:showLegendKey val="0"/>
          <c:showVal val="0"/>
          <c:showCatName val="0"/>
          <c:showSerName val="0"/>
          <c:showPercent val="0"/>
          <c:showBubbleSize val="0"/>
        </c:dLbls>
        <c:gapWidth val="182"/>
        <c:axId val="1455009391"/>
        <c:axId val="1455010831"/>
      </c:barChart>
      <c:catAx>
        <c:axId val="145500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10831"/>
        <c:crosses val="autoZero"/>
        <c:auto val="1"/>
        <c:lblAlgn val="ctr"/>
        <c:lblOffset val="100"/>
        <c:noMultiLvlLbl val="0"/>
      </c:catAx>
      <c:valAx>
        <c:axId val="1455010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0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EXCEL.xlsx]PIVOT TABLE AND WORKINGS!PivotTable1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WORKINGS'!$B$3</c:f>
              <c:strCache>
                <c:ptCount val="1"/>
                <c:pt idx="0">
                  <c:v>Total</c:v>
                </c:pt>
              </c:strCache>
            </c:strRef>
          </c:tx>
          <c:spPr>
            <a:solidFill>
              <a:schemeClr val="accent1"/>
            </a:solidFill>
            <a:ln>
              <a:noFill/>
            </a:ln>
            <a:effectLst/>
          </c:spPr>
          <c:invertIfNegative val="0"/>
          <c:cat>
            <c:strRef>
              <c:f>'PIVOT TABLE AND WORKINGS'!$A$4:$A$10</c:f>
              <c:strCache>
                <c:ptCount val="6"/>
                <c:pt idx="0">
                  <c:v>JACOB</c:v>
                </c:pt>
                <c:pt idx="1">
                  <c:v>JOHN</c:v>
                </c:pt>
                <c:pt idx="2">
                  <c:v>RON</c:v>
                </c:pt>
                <c:pt idx="3">
                  <c:v>SAM</c:v>
                </c:pt>
                <c:pt idx="4">
                  <c:v>SMITH</c:v>
                </c:pt>
                <c:pt idx="5">
                  <c:v>WILL</c:v>
                </c:pt>
              </c:strCache>
            </c:strRef>
          </c:cat>
          <c:val>
            <c:numRef>
              <c:f>'PIVOT TABLE AND WORKINGS'!$B$4:$B$10</c:f>
              <c:numCache>
                <c:formatCode>General</c:formatCode>
                <c:ptCount val="6"/>
                <c:pt idx="0">
                  <c:v>1270250</c:v>
                </c:pt>
                <c:pt idx="1">
                  <c:v>1264300</c:v>
                </c:pt>
                <c:pt idx="2">
                  <c:v>833650</c:v>
                </c:pt>
                <c:pt idx="3">
                  <c:v>622350</c:v>
                </c:pt>
                <c:pt idx="4">
                  <c:v>586800</c:v>
                </c:pt>
                <c:pt idx="5">
                  <c:v>811500</c:v>
                </c:pt>
              </c:numCache>
            </c:numRef>
          </c:val>
          <c:extLst>
            <c:ext xmlns:c16="http://schemas.microsoft.com/office/drawing/2014/chart" uri="{C3380CC4-5D6E-409C-BE32-E72D297353CC}">
              <c16:uniqueId val="{00000002-63A9-4446-BE0E-6036C64E6A85}"/>
            </c:ext>
          </c:extLst>
        </c:ser>
        <c:dLbls>
          <c:showLegendKey val="0"/>
          <c:showVal val="0"/>
          <c:showCatName val="0"/>
          <c:showSerName val="0"/>
          <c:showPercent val="0"/>
          <c:showBubbleSize val="0"/>
        </c:dLbls>
        <c:gapWidth val="219"/>
        <c:overlap val="-27"/>
        <c:axId val="497867887"/>
        <c:axId val="497855407"/>
      </c:barChart>
      <c:catAx>
        <c:axId val="49786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55407"/>
        <c:crosses val="autoZero"/>
        <c:auto val="1"/>
        <c:lblAlgn val="ctr"/>
        <c:lblOffset val="100"/>
        <c:noMultiLvlLbl val="0"/>
      </c:catAx>
      <c:valAx>
        <c:axId val="49785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6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EXCEL.xlsx]PIVOT TABLE AND WORKINGS!PivotTable2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 AND WORKINGS'!$D$3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8D-47C0-B184-7DE47D5EBA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8D-47C0-B184-7DE47D5EBA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8D-47C0-B184-7DE47D5EBA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8D-47C0-B184-7DE47D5EBAA8}"/>
              </c:ext>
            </c:extLst>
          </c:dPt>
          <c:cat>
            <c:strRef>
              <c:f>'PIVOT TABLE AND WORKINGS'!$C$4:$C$8</c:f>
              <c:strCache>
                <c:ptCount val="4"/>
                <c:pt idx="0">
                  <c:v>EAST</c:v>
                </c:pt>
                <c:pt idx="1">
                  <c:v>NORTH</c:v>
                </c:pt>
                <c:pt idx="2">
                  <c:v>SOUTH</c:v>
                </c:pt>
                <c:pt idx="3">
                  <c:v>WEST</c:v>
                </c:pt>
              </c:strCache>
            </c:strRef>
          </c:cat>
          <c:val>
            <c:numRef>
              <c:f>'PIVOT TABLE AND WORKINGS'!$D$4:$D$8</c:f>
              <c:numCache>
                <c:formatCode>General</c:formatCode>
                <c:ptCount val="4"/>
                <c:pt idx="0">
                  <c:v>1333500</c:v>
                </c:pt>
                <c:pt idx="1">
                  <c:v>1436400</c:v>
                </c:pt>
                <c:pt idx="2">
                  <c:v>1278150</c:v>
                </c:pt>
                <c:pt idx="3">
                  <c:v>1340800</c:v>
                </c:pt>
              </c:numCache>
            </c:numRef>
          </c:val>
          <c:extLst>
            <c:ext xmlns:c16="http://schemas.microsoft.com/office/drawing/2014/chart" uri="{C3380CC4-5D6E-409C-BE32-E72D297353CC}">
              <c16:uniqueId val="{00000002-114E-43D5-9779-C0F2B630EF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EXCEL.xlsx]PIVOT TABLE AND WORKINGS!PivotTable3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WORKINGS'!$F$3</c:f>
              <c:strCache>
                <c:ptCount val="1"/>
                <c:pt idx="0">
                  <c:v>Total</c:v>
                </c:pt>
              </c:strCache>
            </c:strRef>
          </c:tx>
          <c:spPr>
            <a:ln w="28575" cap="rnd">
              <a:solidFill>
                <a:schemeClr val="accent1"/>
              </a:solidFill>
              <a:round/>
            </a:ln>
            <a:effectLst/>
          </c:spPr>
          <c:marker>
            <c:symbol val="none"/>
          </c:marker>
          <c:cat>
            <c:strRef>
              <c:f>'PIVOT TABLE AND WORKINGS'!$E$4:$E$10</c:f>
              <c:strCache>
                <c:ptCount val="6"/>
                <c:pt idx="0">
                  <c:v>COSMETICS</c:v>
                </c:pt>
                <c:pt idx="1">
                  <c:v>HOME APPLIANCES</c:v>
                </c:pt>
                <c:pt idx="2">
                  <c:v>CLOTHING</c:v>
                </c:pt>
                <c:pt idx="3">
                  <c:v>ELECTRONICS</c:v>
                </c:pt>
                <c:pt idx="4">
                  <c:v>STATIONERY</c:v>
                </c:pt>
                <c:pt idx="5">
                  <c:v>GROCERY</c:v>
                </c:pt>
              </c:strCache>
            </c:strRef>
          </c:cat>
          <c:val>
            <c:numRef>
              <c:f>'PIVOT TABLE AND WORKINGS'!$F$4:$F$10</c:f>
              <c:numCache>
                <c:formatCode>General</c:formatCode>
                <c:ptCount val="6"/>
                <c:pt idx="0">
                  <c:v>287500</c:v>
                </c:pt>
                <c:pt idx="1">
                  <c:v>3270000</c:v>
                </c:pt>
                <c:pt idx="2">
                  <c:v>536000</c:v>
                </c:pt>
                <c:pt idx="3">
                  <c:v>1218000</c:v>
                </c:pt>
                <c:pt idx="4">
                  <c:v>27650</c:v>
                </c:pt>
                <c:pt idx="5">
                  <c:v>49700</c:v>
                </c:pt>
              </c:numCache>
            </c:numRef>
          </c:val>
          <c:smooth val="0"/>
          <c:extLst>
            <c:ext xmlns:c16="http://schemas.microsoft.com/office/drawing/2014/chart" uri="{C3380CC4-5D6E-409C-BE32-E72D297353CC}">
              <c16:uniqueId val="{00000002-E185-47EB-957A-55770BCC508A}"/>
            </c:ext>
          </c:extLst>
        </c:ser>
        <c:dLbls>
          <c:showLegendKey val="0"/>
          <c:showVal val="0"/>
          <c:showCatName val="0"/>
          <c:showSerName val="0"/>
          <c:showPercent val="0"/>
          <c:showBubbleSize val="0"/>
        </c:dLbls>
        <c:smooth val="0"/>
        <c:axId val="317740319"/>
        <c:axId val="318436175"/>
      </c:lineChart>
      <c:catAx>
        <c:axId val="31774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36175"/>
        <c:crosses val="autoZero"/>
        <c:auto val="1"/>
        <c:lblAlgn val="ctr"/>
        <c:lblOffset val="100"/>
        <c:noMultiLvlLbl val="0"/>
      </c:catAx>
      <c:valAx>
        <c:axId val="31843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EXCEL.xlsx]PIVOT TABLE AND WORKINGS!PivotTable4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WORKINGS'!$H$3</c:f>
              <c:strCache>
                <c:ptCount val="1"/>
                <c:pt idx="0">
                  <c:v>Total</c:v>
                </c:pt>
              </c:strCache>
            </c:strRef>
          </c:tx>
          <c:spPr>
            <a:solidFill>
              <a:schemeClr val="accent1"/>
            </a:solidFill>
            <a:ln>
              <a:noFill/>
            </a:ln>
            <a:effectLst/>
          </c:spPr>
          <c:invertIfNegative val="0"/>
          <c:cat>
            <c:strRef>
              <c:f>'PIVOT TABLE AND WORKINGS'!$G$4:$G$10</c:f>
              <c:strCache>
                <c:ptCount val="6"/>
                <c:pt idx="0">
                  <c:v>CLOTHING</c:v>
                </c:pt>
                <c:pt idx="1">
                  <c:v>COSMETICS</c:v>
                </c:pt>
                <c:pt idx="2">
                  <c:v>ELECTRONICS</c:v>
                </c:pt>
                <c:pt idx="3">
                  <c:v>GROCERY</c:v>
                </c:pt>
                <c:pt idx="4">
                  <c:v>HOME APPLIANCES</c:v>
                </c:pt>
                <c:pt idx="5">
                  <c:v>STATIONERY</c:v>
                </c:pt>
              </c:strCache>
            </c:strRef>
          </c:cat>
          <c:val>
            <c:numRef>
              <c:f>'PIVOT TABLE AND WORKINGS'!$H$4:$H$10</c:f>
              <c:numCache>
                <c:formatCode>General</c:formatCode>
                <c:ptCount val="6"/>
                <c:pt idx="0">
                  <c:v>536</c:v>
                </c:pt>
                <c:pt idx="1">
                  <c:v>575</c:v>
                </c:pt>
                <c:pt idx="2">
                  <c:v>609</c:v>
                </c:pt>
                <c:pt idx="3">
                  <c:v>497</c:v>
                </c:pt>
                <c:pt idx="4">
                  <c:v>654</c:v>
                </c:pt>
                <c:pt idx="5">
                  <c:v>553</c:v>
                </c:pt>
              </c:numCache>
            </c:numRef>
          </c:val>
          <c:extLst>
            <c:ext xmlns:c16="http://schemas.microsoft.com/office/drawing/2014/chart" uri="{C3380CC4-5D6E-409C-BE32-E72D297353CC}">
              <c16:uniqueId val="{00000002-EACB-44C6-8C8C-0A998D7E9023}"/>
            </c:ext>
          </c:extLst>
        </c:ser>
        <c:dLbls>
          <c:showLegendKey val="0"/>
          <c:showVal val="0"/>
          <c:showCatName val="0"/>
          <c:showSerName val="0"/>
          <c:showPercent val="0"/>
          <c:showBubbleSize val="0"/>
        </c:dLbls>
        <c:gapWidth val="182"/>
        <c:axId val="1455009391"/>
        <c:axId val="1455010831"/>
      </c:barChart>
      <c:catAx>
        <c:axId val="145500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10831"/>
        <c:crosses val="autoZero"/>
        <c:auto val="1"/>
        <c:lblAlgn val="ctr"/>
        <c:lblOffset val="100"/>
        <c:noMultiLvlLbl val="0"/>
      </c:catAx>
      <c:valAx>
        <c:axId val="1455010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0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72570</xdr:colOff>
      <xdr:row>12</xdr:row>
      <xdr:rowOff>96982</xdr:rowOff>
    </xdr:from>
    <xdr:to>
      <xdr:col>11</xdr:col>
      <xdr:colOff>263235</xdr:colOff>
      <xdr:row>30</xdr:row>
      <xdr:rowOff>33275</xdr:rowOff>
    </xdr:to>
    <xdr:graphicFrame macro="">
      <xdr:nvGraphicFramePr>
        <xdr:cNvPr id="2" name="Chart 1">
          <a:extLst>
            <a:ext uri="{FF2B5EF4-FFF2-40B4-BE49-F238E27FC236}">
              <a16:creationId xmlns:a16="http://schemas.microsoft.com/office/drawing/2014/main" id="{04CB598D-4428-4E31-BD68-230056377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108857</xdr:colOff>
      <xdr:row>30</xdr:row>
      <xdr:rowOff>157238</xdr:rowOff>
    </xdr:from>
    <xdr:to>
      <xdr:col>21</xdr:col>
      <xdr:colOff>403411</xdr:colOff>
      <xdr:row>46</xdr:row>
      <xdr:rowOff>12095</xdr:rowOff>
    </xdr:to>
    <xdr:graphicFrame macro="">
      <xdr:nvGraphicFramePr>
        <xdr:cNvPr id="3" name="Chart 2">
          <a:extLst>
            <a:ext uri="{FF2B5EF4-FFF2-40B4-BE49-F238E27FC236}">
              <a16:creationId xmlns:a16="http://schemas.microsoft.com/office/drawing/2014/main" id="{3BDD6913-44F4-4153-99D6-CEF19425E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397383</xdr:colOff>
      <xdr:row>18</xdr:row>
      <xdr:rowOff>83127</xdr:rowOff>
    </xdr:from>
    <xdr:to>
      <xdr:col>21</xdr:col>
      <xdr:colOff>448235</xdr:colOff>
      <xdr:row>30</xdr:row>
      <xdr:rowOff>49753</xdr:rowOff>
    </xdr:to>
    <xdr:graphicFrame macro="">
      <xdr:nvGraphicFramePr>
        <xdr:cNvPr id="4" name="Chart 3">
          <a:extLst>
            <a:ext uri="{FF2B5EF4-FFF2-40B4-BE49-F238E27FC236}">
              <a16:creationId xmlns:a16="http://schemas.microsoft.com/office/drawing/2014/main" id="{C7FC323C-1408-4A46-A780-70FAED784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72571</xdr:colOff>
      <xdr:row>30</xdr:row>
      <xdr:rowOff>84667</xdr:rowOff>
    </xdr:from>
    <xdr:to>
      <xdr:col>14</xdr:col>
      <xdr:colOff>60475</xdr:colOff>
      <xdr:row>45</xdr:row>
      <xdr:rowOff>181427</xdr:rowOff>
    </xdr:to>
    <xdr:graphicFrame macro="">
      <xdr:nvGraphicFramePr>
        <xdr:cNvPr id="5" name="Chart 4">
          <a:extLst>
            <a:ext uri="{FF2B5EF4-FFF2-40B4-BE49-F238E27FC236}">
              <a16:creationId xmlns:a16="http://schemas.microsoft.com/office/drawing/2014/main" id="{8E7D583F-8E4D-43F9-A59B-CA4EB9909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12</xdr:row>
      <xdr:rowOff>134471</xdr:rowOff>
    </xdr:from>
    <xdr:to>
      <xdr:col>4</xdr:col>
      <xdr:colOff>6178</xdr:colOff>
      <xdr:row>29</xdr:row>
      <xdr:rowOff>120951</xdr:rowOff>
    </xdr:to>
    <mc:AlternateContent xmlns:mc="http://schemas.openxmlformats.org/markup-compatibility/2006" xmlns:a14="http://schemas.microsoft.com/office/drawing/2010/main">
      <mc:Choice Requires="a14">
        <xdr:graphicFrame macro="">
          <xdr:nvGraphicFramePr>
            <xdr:cNvPr id="6" name="SALES PERSON 1">
              <a:extLst>
                <a:ext uri="{FF2B5EF4-FFF2-40B4-BE49-F238E27FC236}">
                  <a16:creationId xmlns:a16="http://schemas.microsoft.com/office/drawing/2014/main" id="{5B271B0B-EC18-4156-A5D5-8E6E06EE41AA}"/>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605118" y="2286000"/>
              <a:ext cx="1821531" cy="303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314036</xdr:colOff>
      <xdr:row>12</xdr:row>
      <xdr:rowOff>88184</xdr:rowOff>
    </xdr:from>
    <xdr:to>
      <xdr:col>15</xdr:col>
      <xdr:colOff>609161</xdr:colOff>
      <xdr:row>17</xdr:row>
      <xdr:rowOff>160756</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4EDB734-B846-43D6-8938-FAC80B272B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70330" y="2239713"/>
              <a:ext cx="2715596" cy="96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30</xdr:row>
      <xdr:rowOff>72573</xdr:rowOff>
    </xdr:from>
    <xdr:to>
      <xdr:col>4</xdr:col>
      <xdr:colOff>6179</xdr:colOff>
      <xdr:row>46</xdr:row>
      <xdr:rowOff>21122</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E88277D2-A043-4B0F-86B6-D8421991BF5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05118" y="5451397"/>
              <a:ext cx="1821532" cy="2817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78947</xdr:colOff>
      <xdr:row>7</xdr:row>
      <xdr:rowOff>89647</xdr:rowOff>
    </xdr:from>
    <xdr:to>
      <xdr:col>21</xdr:col>
      <xdr:colOff>493057</xdr:colOff>
      <xdr:row>17</xdr:row>
      <xdr:rowOff>84667</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E302B0A2-039A-43C8-B031-4DD1A8D2838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760830" y="1805038"/>
              <a:ext cx="2517234" cy="13276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72571</xdr:colOff>
      <xdr:row>0</xdr:row>
      <xdr:rowOff>72571</xdr:rowOff>
    </xdr:from>
    <xdr:to>
      <xdr:col>22</xdr:col>
      <xdr:colOff>0</xdr:colOff>
      <xdr:row>6</xdr:row>
      <xdr:rowOff>36286</xdr:rowOff>
    </xdr:to>
    <xdr:sp macro="" textlink="">
      <xdr:nvSpPr>
        <xdr:cNvPr id="10" name="Rectangle 9">
          <a:extLst>
            <a:ext uri="{FF2B5EF4-FFF2-40B4-BE49-F238E27FC236}">
              <a16:creationId xmlns:a16="http://schemas.microsoft.com/office/drawing/2014/main" id="{ACFAD6CB-1E4D-712C-4B2D-69FBD0E7659B}"/>
            </a:ext>
          </a:extLst>
        </xdr:cNvPr>
        <xdr:cNvSpPr/>
      </xdr:nvSpPr>
      <xdr:spPr>
        <a:xfrm>
          <a:off x="72571" y="72571"/>
          <a:ext cx="12627429" cy="1052286"/>
        </a:xfrm>
        <a:prstGeom prst="rect">
          <a:avLst/>
        </a:prstGeom>
        <a:solidFill>
          <a:srgbClr val="C00000"/>
        </a:solidFill>
        <a:effectLst>
          <a:innerShdw blurRad="63500" dist="50800" dir="13500000">
            <a:prstClr val="black">
              <a:alpha val="50000"/>
            </a:prstClr>
          </a:inn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IN" sz="7200" kern="1200">
              <a:latin typeface="Algerian" panose="04020705040A02060702" pitchFamily="82" charset="0"/>
            </a:rPr>
            <a:t>SALES</a:t>
          </a:r>
          <a:r>
            <a:rPr lang="en-IN" sz="7200" kern="1200" baseline="0">
              <a:latin typeface="Algerian" panose="04020705040A02060702" pitchFamily="82" charset="0"/>
            </a:rPr>
            <a:t> DASHBOARD</a:t>
          </a:r>
          <a:endParaRPr lang="en-IN" sz="7200" kern="1200">
            <a:latin typeface="Algerian" panose="04020705040A02060702" pitchFamily="82" charset="0"/>
          </a:endParaRPr>
        </a:p>
      </xdr:txBody>
    </xdr:sp>
    <xdr:clientData/>
  </xdr:twoCellAnchor>
  <xdr:twoCellAnchor>
    <xdr:from>
      <xdr:col>1</xdr:col>
      <xdr:colOff>145143</xdr:colOff>
      <xdr:row>6</xdr:row>
      <xdr:rowOff>120953</xdr:rowOff>
    </xdr:from>
    <xdr:to>
      <xdr:col>4</xdr:col>
      <xdr:colOff>435428</xdr:colOff>
      <xdr:row>10</xdr:row>
      <xdr:rowOff>169333</xdr:rowOff>
    </xdr:to>
    <xdr:sp macro="" textlink="">
      <xdr:nvSpPr>
        <xdr:cNvPr id="11" name="Rectangle 10">
          <a:extLst>
            <a:ext uri="{FF2B5EF4-FFF2-40B4-BE49-F238E27FC236}">
              <a16:creationId xmlns:a16="http://schemas.microsoft.com/office/drawing/2014/main" id="{7D7D02D0-1D3C-D45A-75E9-C042779C02AB}"/>
            </a:ext>
          </a:extLst>
        </xdr:cNvPr>
        <xdr:cNvSpPr/>
      </xdr:nvSpPr>
      <xdr:spPr>
        <a:xfrm>
          <a:off x="145143" y="1209524"/>
          <a:ext cx="2104571" cy="774095"/>
        </a:xfrm>
        <a:prstGeom prst="rect">
          <a:avLst/>
        </a:prstGeom>
        <a:ln>
          <a:solidFill>
            <a:srgbClr val="C00000"/>
          </a:solidFill>
        </a:ln>
        <a:effectLst>
          <a:innerShdw blurRad="63500" dist="50800" dir="13500000">
            <a:prstClr val="black">
              <a:alpha val="50000"/>
            </a:prst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145143</xdr:colOff>
      <xdr:row>6</xdr:row>
      <xdr:rowOff>133048</xdr:rowOff>
    </xdr:from>
    <xdr:to>
      <xdr:col>4</xdr:col>
      <xdr:colOff>133047</xdr:colOff>
      <xdr:row>8</xdr:row>
      <xdr:rowOff>72571</xdr:rowOff>
    </xdr:to>
    <xdr:sp macro="" textlink="">
      <xdr:nvSpPr>
        <xdr:cNvPr id="12" name="TextBox 11">
          <a:extLst>
            <a:ext uri="{FF2B5EF4-FFF2-40B4-BE49-F238E27FC236}">
              <a16:creationId xmlns:a16="http://schemas.microsoft.com/office/drawing/2014/main" id="{EC5CD6C7-BCFB-8624-7ACA-57FBE7F30E0E}"/>
            </a:ext>
          </a:extLst>
        </xdr:cNvPr>
        <xdr:cNvSpPr txBox="1"/>
      </xdr:nvSpPr>
      <xdr:spPr>
        <a:xfrm>
          <a:off x="145143" y="1221619"/>
          <a:ext cx="1802190" cy="302381"/>
        </a:xfrm>
        <a:prstGeom prst="rect">
          <a:avLst/>
        </a:prstGeom>
        <a:solidFill>
          <a:srgbClr val="C00000"/>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kern="1200">
              <a:solidFill>
                <a:schemeClr val="bg1"/>
              </a:solidFill>
              <a:latin typeface="Bahnschrift Condensed" panose="020B0502040204020203" pitchFamily="34" charset="0"/>
            </a:rPr>
            <a:t>TOTAL</a:t>
          </a:r>
          <a:r>
            <a:rPr lang="en-IN" sz="2000" kern="1200" baseline="0">
              <a:solidFill>
                <a:schemeClr val="bg1"/>
              </a:solidFill>
              <a:latin typeface="Bahnschrift Condensed" panose="020B0502040204020203" pitchFamily="34" charset="0"/>
            </a:rPr>
            <a:t> SALES</a:t>
          </a:r>
          <a:endParaRPr lang="en-IN" sz="2000" kern="1200">
            <a:solidFill>
              <a:schemeClr val="bg1"/>
            </a:solidFill>
            <a:latin typeface="Bahnschrift Condensed" panose="020B0502040204020203" pitchFamily="34" charset="0"/>
          </a:endParaRPr>
        </a:p>
      </xdr:txBody>
    </xdr:sp>
    <xdr:clientData/>
  </xdr:twoCellAnchor>
  <xdr:twoCellAnchor>
    <xdr:from>
      <xdr:col>1</xdr:col>
      <xdr:colOff>483810</xdr:colOff>
      <xdr:row>8</xdr:row>
      <xdr:rowOff>145142</xdr:rowOff>
    </xdr:from>
    <xdr:to>
      <xdr:col>4</xdr:col>
      <xdr:colOff>387048</xdr:colOff>
      <xdr:row>10</xdr:row>
      <xdr:rowOff>60475</xdr:rowOff>
    </xdr:to>
    <xdr:sp macro="" textlink="DATA!K4">
      <xdr:nvSpPr>
        <xdr:cNvPr id="13" name="TextBox 12">
          <a:extLst>
            <a:ext uri="{FF2B5EF4-FFF2-40B4-BE49-F238E27FC236}">
              <a16:creationId xmlns:a16="http://schemas.microsoft.com/office/drawing/2014/main" id="{03B2CA83-9968-85BA-F213-278911831339}"/>
            </a:ext>
          </a:extLst>
        </xdr:cNvPr>
        <xdr:cNvSpPr txBox="1"/>
      </xdr:nvSpPr>
      <xdr:spPr>
        <a:xfrm>
          <a:off x="483810" y="1596571"/>
          <a:ext cx="1717524" cy="278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C02FFB-13A0-49B4-AFF0-606B643F956C}" type="TxLink">
            <a:rPr lang="en-US" sz="2000" b="1" i="0" u="none" strike="noStrike" kern="1200">
              <a:solidFill>
                <a:srgbClr val="C00000"/>
              </a:solidFill>
              <a:latin typeface="Bahnschrift SemiBold Condensed" panose="020B0502040204020203" pitchFamily="34" charset="0"/>
              <a:ea typeface="Calibri"/>
              <a:cs typeface="Calibri"/>
            </a:rPr>
            <a:pPr algn="ctr"/>
            <a:t>5388850</a:t>
          </a:fld>
          <a:endParaRPr lang="en-IN" sz="2000" b="1" kern="1200">
            <a:solidFill>
              <a:srgbClr val="C00000"/>
            </a:solidFill>
            <a:latin typeface="Bahnschrift SemiBold Condensed" panose="020B0502040204020203" pitchFamily="34" charset="0"/>
          </a:endParaRPr>
        </a:p>
      </xdr:txBody>
    </xdr:sp>
    <xdr:clientData/>
  </xdr:twoCellAnchor>
  <xdr:twoCellAnchor>
    <xdr:from>
      <xdr:col>4</xdr:col>
      <xdr:colOff>568476</xdr:colOff>
      <xdr:row>6</xdr:row>
      <xdr:rowOff>133048</xdr:rowOff>
    </xdr:from>
    <xdr:to>
      <xdr:col>8</xdr:col>
      <xdr:colOff>254000</xdr:colOff>
      <xdr:row>11</xdr:row>
      <xdr:rowOff>0</xdr:rowOff>
    </xdr:to>
    <xdr:sp macro="" textlink="">
      <xdr:nvSpPr>
        <xdr:cNvPr id="14" name="Rectangle 13">
          <a:extLst>
            <a:ext uri="{FF2B5EF4-FFF2-40B4-BE49-F238E27FC236}">
              <a16:creationId xmlns:a16="http://schemas.microsoft.com/office/drawing/2014/main" id="{DDC6A4B9-7145-43A9-8DCE-C91AE0A703EB}"/>
            </a:ext>
          </a:extLst>
        </xdr:cNvPr>
        <xdr:cNvSpPr/>
      </xdr:nvSpPr>
      <xdr:spPr>
        <a:xfrm>
          <a:off x="2382762" y="1221619"/>
          <a:ext cx="2104571" cy="774095"/>
        </a:xfrm>
        <a:prstGeom prst="rect">
          <a:avLst/>
        </a:prstGeom>
        <a:ln>
          <a:solidFill>
            <a:srgbClr val="C00000"/>
          </a:solidFill>
        </a:ln>
        <a:effectLst>
          <a:innerShdw blurRad="63500" dist="50800" dir="13500000">
            <a:prstClr val="black">
              <a:alpha val="50000"/>
            </a:prst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362857</xdr:colOff>
      <xdr:row>6</xdr:row>
      <xdr:rowOff>133049</xdr:rowOff>
    </xdr:from>
    <xdr:to>
      <xdr:col>12</xdr:col>
      <xdr:colOff>48380</xdr:colOff>
      <xdr:row>11</xdr:row>
      <xdr:rowOff>1</xdr:rowOff>
    </xdr:to>
    <xdr:sp macro="" textlink="">
      <xdr:nvSpPr>
        <xdr:cNvPr id="15" name="Rectangle 14">
          <a:extLst>
            <a:ext uri="{FF2B5EF4-FFF2-40B4-BE49-F238E27FC236}">
              <a16:creationId xmlns:a16="http://schemas.microsoft.com/office/drawing/2014/main" id="{5D7F0E90-E657-407F-B120-E00E6E6CE23D}"/>
            </a:ext>
          </a:extLst>
        </xdr:cNvPr>
        <xdr:cNvSpPr/>
      </xdr:nvSpPr>
      <xdr:spPr>
        <a:xfrm>
          <a:off x="4596190" y="1221620"/>
          <a:ext cx="2104571" cy="774095"/>
        </a:xfrm>
        <a:prstGeom prst="rect">
          <a:avLst/>
        </a:prstGeom>
        <a:ln>
          <a:solidFill>
            <a:srgbClr val="C00000"/>
          </a:solidFill>
        </a:ln>
        <a:effectLst>
          <a:innerShdw blurRad="63500" dist="50800" dir="13500000">
            <a:prstClr val="black">
              <a:alpha val="50000"/>
            </a:prst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169333</xdr:colOff>
      <xdr:row>6</xdr:row>
      <xdr:rowOff>133048</xdr:rowOff>
    </xdr:from>
    <xdr:to>
      <xdr:col>15</xdr:col>
      <xdr:colOff>459618</xdr:colOff>
      <xdr:row>11</xdr:row>
      <xdr:rowOff>0</xdr:rowOff>
    </xdr:to>
    <xdr:sp macro="" textlink="">
      <xdr:nvSpPr>
        <xdr:cNvPr id="16" name="Rectangle 15">
          <a:extLst>
            <a:ext uri="{FF2B5EF4-FFF2-40B4-BE49-F238E27FC236}">
              <a16:creationId xmlns:a16="http://schemas.microsoft.com/office/drawing/2014/main" id="{640CBD59-5B26-49F9-BE10-087299E0973D}"/>
            </a:ext>
          </a:extLst>
        </xdr:cNvPr>
        <xdr:cNvSpPr/>
      </xdr:nvSpPr>
      <xdr:spPr>
        <a:xfrm>
          <a:off x="6821714" y="1221619"/>
          <a:ext cx="2104571" cy="774095"/>
        </a:xfrm>
        <a:prstGeom prst="rect">
          <a:avLst/>
        </a:prstGeom>
        <a:ln>
          <a:solidFill>
            <a:srgbClr val="C00000"/>
          </a:solidFill>
        </a:ln>
        <a:effectLst>
          <a:innerShdw blurRad="63500" dist="50800" dir="13500000">
            <a:prstClr val="black">
              <a:alpha val="50000"/>
            </a:prst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568476</xdr:colOff>
      <xdr:row>6</xdr:row>
      <xdr:rowOff>133048</xdr:rowOff>
    </xdr:from>
    <xdr:to>
      <xdr:col>7</xdr:col>
      <xdr:colOff>556381</xdr:colOff>
      <xdr:row>8</xdr:row>
      <xdr:rowOff>72571</xdr:rowOff>
    </xdr:to>
    <xdr:sp macro="" textlink="">
      <xdr:nvSpPr>
        <xdr:cNvPr id="18" name="TextBox 17">
          <a:extLst>
            <a:ext uri="{FF2B5EF4-FFF2-40B4-BE49-F238E27FC236}">
              <a16:creationId xmlns:a16="http://schemas.microsoft.com/office/drawing/2014/main" id="{9EE465AC-2AA9-4D00-B570-856EC33E3F2C}"/>
            </a:ext>
          </a:extLst>
        </xdr:cNvPr>
        <xdr:cNvSpPr txBox="1"/>
      </xdr:nvSpPr>
      <xdr:spPr>
        <a:xfrm>
          <a:off x="2382762" y="1221619"/>
          <a:ext cx="1802190" cy="302381"/>
        </a:xfrm>
        <a:prstGeom prst="rect">
          <a:avLst/>
        </a:prstGeom>
        <a:solidFill>
          <a:srgbClr val="C00000"/>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kern="1200">
              <a:solidFill>
                <a:schemeClr val="bg1"/>
              </a:solidFill>
              <a:latin typeface="Bahnschrift Condensed" panose="020B0502040204020203" pitchFamily="34" charset="0"/>
            </a:rPr>
            <a:t>AVG</a:t>
          </a:r>
          <a:r>
            <a:rPr lang="en-IN" sz="2000" kern="1200" baseline="0">
              <a:solidFill>
                <a:schemeClr val="bg1"/>
              </a:solidFill>
              <a:latin typeface="Bahnschrift Condensed" panose="020B0502040204020203" pitchFamily="34" charset="0"/>
            </a:rPr>
            <a:t> SALES</a:t>
          </a:r>
          <a:endParaRPr lang="en-IN" sz="2000" kern="1200">
            <a:solidFill>
              <a:schemeClr val="bg1"/>
            </a:solidFill>
            <a:latin typeface="Bahnschrift Condensed" panose="020B0502040204020203" pitchFamily="34" charset="0"/>
          </a:endParaRPr>
        </a:p>
      </xdr:txBody>
    </xdr:sp>
    <xdr:clientData/>
  </xdr:twoCellAnchor>
  <xdr:twoCellAnchor>
    <xdr:from>
      <xdr:col>8</xdr:col>
      <xdr:colOff>362857</xdr:colOff>
      <xdr:row>6</xdr:row>
      <xdr:rowOff>133049</xdr:rowOff>
    </xdr:from>
    <xdr:to>
      <xdr:col>11</xdr:col>
      <xdr:colOff>350761</xdr:colOff>
      <xdr:row>8</xdr:row>
      <xdr:rowOff>72572</xdr:rowOff>
    </xdr:to>
    <xdr:sp macro="" textlink="">
      <xdr:nvSpPr>
        <xdr:cNvPr id="19" name="TextBox 18">
          <a:extLst>
            <a:ext uri="{FF2B5EF4-FFF2-40B4-BE49-F238E27FC236}">
              <a16:creationId xmlns:a16="http://schemas.microsoft.com/office/drawing/2014/main" id="{F3CF6912-0306-4285-8E3B-47D15D357A7A}"/>
            </a:ext>
          </a:extLst>
        </xdr:cNvPr>
        <xdr:cNvSpPr txBox="1"/>
      </xdr:nvSpPr>
      <xdr:spPr>
        <a:xfrm>
          <a:off x="4596190" y="1221620"/>
          <a:ext cx="1802190" cy="302381"/>
        </a:xfrm>
        <a:prstGeom prst="rect">
          <a:avLst/>
        </a:prstGeom>
        <a:solidFill>
          <a:srgbClr val="C00000"/>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kern="1200">
              <a:solidFill>
                <a:schemeClr val="bg1"/>
              </a:solidFill>
              <a:latin typeface="Bahnschrift Condensed" panose="020B0502040204020203" pitchFamily="34" charset="0"/>
            </a:rPr>
            <a:t>UNITS</a:t>
          </a:r>
          <a:r>
            <a:rPr lang="en-IN" sz="2000" kern="1200" baseline="0">
              <a:solidFill>
                <a:schemeClr val="bg1"/>
              </a:solidFill>
              <a:latin typeface="Bahnschrift Condensed" panose="020B0502040204020203" pitchFamily="34" charset="0"/>
            </a:rPr>
            <a:t> SOLD</a:t>
          </a:r>
          <a:endParaRPr lang="en-IN" sz="2000" kern="1200">
            <a:solidFill>
              <a:schemeClr val="bg1"/>
            </a:solidFill>
            <a:latin typeface="Bahnschrift Condensed" panose="020B0502040204020203" pitchFamily="34" charset="0"/>
          </a:endParaRPr>
        </a:p>
      </xdr:txBody>
    </xdr:sp>
    <xdr:clientData/>
  </xdr:twoCellAnchor>
  <xdr:twoCellAnchor>
    <xdr:from>
      <xdr:col>12</xdr:col>
      <xdr:colOff>169333</xdr:colOff>
      <xdr:row>6</xdr:row>
      <xdr:rowOff>133048</xdr:rowOff>
    </xdr:from>
    <xdr:to>
      <xdr:col>15</xdr:col>
      <xdr:colOff>157237</xdr:colOff>
      <xdr:row>8</xdr:row>
      <xdr:rowOff>72571</xdr:rowOff>
    </xdr:to>
    <xdr:sp macro="" textlink="">
      <xdr:nvSpPr>
        <xdr:cNvPr id="20" name="TextBox 19">
          <a:extLst>
            <a:ext uri="{FF2B5EF4-FFF2-40B4-BE49-F238E27FC236}">
              <a16:creationId xmlns:a16="http://schemas.microsoft.com/office/drawing/2014/main" id="{56B651A1-D0C3-4110-869D-F1091F639CBA}"/>
            </a:ext>
          </a:extLst>
        </xdr:cNvPr>
        <xdr:cNvSpPr txBox="1"/>
      </xdr:nvSpPr>
      <xdr:spPr>
        <a:xfrm>
          <a:off x="6821714" y="1221619"/>
          <a:ext cx="1802190" cy="302381"/>
        </a:xfrm>
        <a:prstGeom prst="rect">
          <a:avLst/>
        </a:prstGeom>
        <a:solidFill>
          <a:srgbClr val="C00000"/>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kern="1200">
              <a:solidFill>
                <a:schemeClr val="bg1"/>
              </a:solidFill>
              <a:latin typeface="Bahnschrift Condensed" panose="020B0502040204020203" pitchFamily="34" charset="0"/>
            </a:rPr>
            <a:t>PROFIT</a:t>
          </a:r>
        </a:p>
      </xdr:txBody>
    </xdr:sp>
    <xdr:clientData/>
  </xdr:twoCellAnchor>
  <xdr:twoCellAnchor>
    <xdr:from>
      <xdr:col>5</xdr:col>
      <xdr:colOff>241905</xdr:colOff>
      <xdr:row>8</xdr:row>
      <xdr:rowOff>157237</xdr:rowOff>
    </xdr:from>
    <xdr:to>
      <xdr:col>8</xdr:col>
      <xdr:colOff>145144</xdr:colOff>
      <xdr:row>10</xdr:row>
      <xdr:rowOff>72570</xdr:rowOff>
    </xdr:to>
    <xdr:sp macro="" textlink="DATA!K10">
      <xdr:nvSpPr>
        <xdr:cNvPr id="21" name="TextBox 20">
          <a:extLst>
            <a:ext uri="{FF2B5EF4-FFF2-40B4-BE49-F238E27FC236}">
              <a16:creationId xmlns:a16="http://schemas.microsoft.com/office/drawing/2014/main" id="{624DBCCA-301D-4C54-A6E5-DE471CA60962}"/>
            </a:ext>
          </a:extLst>
        </xdr:cNvPr>
        <xdr:cNvSpPr txBox="1"/>
      </xdr:nvSpPr>
      <xdr:spPr>
        <a:xfrm>
          <a:off x="2660953" y="1608666"/>
          <a:ext cx="1717524" cy="278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8752BF-4FBB-49E2-9AE0-85F9A2756D3F}" type="TxLink">
            <a:rPr lang="en-US" sz="2000" b="1" i="0" u="none" strike="noStrike" kern="1200">
              <a:solidFill>
                <a:srgbClr val="C00000"/>
              </a:solidFill>
              <a:latin typeface="Bahnschrift SemiBold Condensed" panose="020B0502040204020203" pitchFamily="34" charset="0"/>
              <a:ea typeface="Calibri"/>
              <a:cs typeface="Calibri"/>
            </a:rPr>
            <a:pPr marL="0" indent="0" algn="ctr"/>
            <a:t>119752</a:t>
          </a:fld>
          <a:endParaRPr lang="en-IN" sz="2000" b="1" i="0" u="none" strike="noStrike" kern="1200">
            <a:solidFill>
              <a:srgbClr val="C00000"/>
            </a:solidFill>
            <a:latin typeface="Bahnschrift SemiBold Condensed" panose="020B0502040204020203" pitchFamily="34" charset="0"/>
            <a:ea typeface="Calibri"/>
            <a:cs typeface="Calibri"/>
          </a:endParaRPr>
        </a:p>
      </xdr:txBody>
    </xdr:sp>
    <xdr:clientData/>
  </xdr:twoCellAnchor>
  <xdr:twoCellAnchor>
    <xdr:from>
      <xdr:col>9</xdr:col>
      <xdr:colOff>48381</xdr:colOff>
      <xdr:row>8</xdr:row>
      <xdr:rowOff>145144</xdr:rowOff>
    </xdr:from>
    <xdr:to>
      <xdr:col>11</xdr:col>
      <xdr:colOff>556381</xdr:colOff>
      <xdr:row>10</xdr:row>
      <xdr:rowOff>60477</xdr:rowOff>
    </xdr:to>
    <xdr:sp macro="" textlink="DATA!K6">
      <xdr:nvSpPr>
        <xdr:cNvPr id="22" name="TextBox 21">
          <a:extLst>
            <a:ext uri="{FF2B5EF4-FFF2-40B4-BE49-F238E27FC236}">
              <a16:creationId xmlns:a16="http://schemas.microsoft.com/office/drawing/2014/main" id="{3CC00134-0C11-404B-88D2-A6CD2AA5F105}"/>
            </a:ext>
          </a:extLst>
        </xdr:cNvPr>
        <xdr:cNvSpPr txBox="1"/>
      </xdr:nvSpPr>
      <xdr:spPr>
        <a:xfrm>
          <a:off x="4886476" y="1596573"/>
          <a:ext cx="1717524" cy="278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C1E0BF-F6EA-4ACA-822E-99B5E3BADAEC}" type="TxLink">
            <a:rPr lang="en-US" sz="2000" b="1" i="0" u="none" strike="noStrike" kern="1200">
              <a:solidFill>
                <a:srgbClr val="C00000"/>
              </a:solidFill>
              <a:latin typeface="Bahnschrift SemiBold Condensed" panose="020B0502040204020203" pitchFamily="34" charset="0"/>
              <a:ea typeface="Calibri"/>
              <a:cs typeface="Calibri"/>
            </a:rPr>
            <a:pPr marL="0" indent="0" algn="ctr"/>
            <a:t>3424</a:t>
          </a:fld>
          <a:endParaRPr lang="en-IN" sz="2000" b="1" i="0" u="none" strike="noStrike" kern="1200">
            <a:solidFill>
              <a:srgbClr val="C00000"/>
            </a:solidFill>
            <a:latin typeface="Bahnschrift SemiBold Condensed" panose="020B0502040204020203" pitchFamily="34" charset="0"/>
            <a:ea typeface="Calibri"/>
            <a:cs typeface="Calibri"/>
          </a:endParaRPr>
        </a:p>
      </xdr:txBody>
    </xdr:sp>
    <xdr:clientData/>
  </xdr:twoCellAnchor>
  <xdr:twoCellAnchor>
    <xdr:from>
      <xdr:col>12</xdr:col>
      <xdr:colOff>471714</xdr:colOff>
      <xdr:row>8</xdr:row>
      <xdr:rowOff>120952</xdr:rowOff>
    </xdr:from>
    <xdr:to>
      <xdr:col>15</xdr:col>
      <xdr:colOff>374952</xdr:colOff>
      <xdr:row>10</xdr:row>
      <xdr:rowOff>36285</xdr:rowOff>
    </xdr:to>
    <xdr:sp macro="" textlink="DATA!K8">
      <xdr:nvSpPr>
        <xdr:cNvPr id="23" name="TextBox 22">
          <a:extLst>
            <a:ext uri="{FF2B5EF4-FFF2-40B4-BE49-F238E27FC236}">
              <a16:creationId xmlns:a16="http://schemas.microsoft.com/office/drawing/2014/main" id="{AE5D37B5-5267-416A-ABA0-133EF3485FA8}"/>
            </a:ext>
          </a:extLst>
        </xdr:cNvPr>
        <xdr:cNvSpPr txBox="1"/>
      </xdr:nvSpPr>
      <xdr:spPr>
        <a:xfrm>
          <a:off x="7124095" y="1572381"/>
          <a:ext cx="1717524" cy="278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47DACC-7F6A-430E-ACEA-75A106E7B601}" type="TxLink">
            <a:rPr lang="en-US" sz="2000" b="1" i="0" u="none" strike="noStrike" kern="1200">
              <a:solidFill>
                <a:srgbClr val="C00000"/>
              </a:solidFill>
              <a:latin typeface="Bahnschrift SemiBold Condensed" panose="020B0502040204020203" pitchFamily="34" charset="0"/>
              <a:ea typeface="Calibri"/>
              <a:cs typeface="Calibri"/>
            </a:rPr>
            <a:pPr marL="0" indent="0" algn="ctr"/>
            <a:t>1774700</a:t>
          </a:fld>
          <a:endParaRPr lang="en-IN" sz="2000" b="1" i="0" u="none" strike="noStrike" kern="1200">
            <a:solidFill>
              <a:srgbClr val="C00000"/>
            </a:solidFill>
            <a:latin typeface="Bahnschrift SemiBold Condensed" panose="020B0502040204020203" pitchFamily="34" charset="0"/>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106680</xdr:rowOff>
    </xdr:from>
    <xdr:to>
      <xdr:col>3</xdr:col>
      <xdr:colOff>304800</xdr:colOff>
      <xdr:row>25</xdr:row>
      <xdr:rowOff>152400</xdr:rowOff>
    </xdr:to>
    <xdr:graphicFrame macro="">
      <xdr:nvGraphicFramePr>
        <xdr:cNvPr id="2" name="Chart 1">
          <a:extLst>
            <a:ext uri="{FF2B5EF4-FFF2-40B4-BE49-F238E27FC236}">
              <a16:creationId xmlns:a16="http://schemas.microsoft.com/office/drawing/2014/main" id="{3DD77A4D-C628-3102-DDF0-C5C8C9634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15</xdr:row>
      <xdr:rowOff>38100</xdr:rowOff>
    </xdr:from>
    <xdr:to>
      <xdr:col>5</xdr:col>
      <xdr:colOff>998220</xdr:colOff>
      <xdr:row>25</xdr:row>
      <xdr:rowOff>53340</xdr:rowOff>
    </xdr:to>
    <xdr:graphicFrame macro="">
      <xdr:nvGraphicFramePr>
        <xdr:cNvPr id="3" name="Chart 2">
          <a:extLst>
            <a:ext uri="{FF2B5EF4-FFF2-40B4-BE49-F238E27FC236}">
              <a16:creationId xmlns:a16="http://schemas.microsoft.com/office/drawing/2014/main" id="{FBA653A1-FC7D-08A0-2A4C-E866CB5CC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1021080</xdr:colOff>
      <xdr:row>14</xdr:row>
      <xdr:rowOff>99060</xdr:rowOff>
    </xdr:from>
    <xdr:to>
      <xdr:col>9</xdr:col>
      <xdr:colOff>228600</xdr:colOff>
      <xdr:row>25</xdr:row>
      <xdr:rowOff>68580</xdr:rowOff>
    </xdr:to>
    <xdr:graphicFrame macro="">
      <xdr:nvGraphicFramePr>
        <xdr:cNvPr id="4" name="Chart 3">
          <a:extLst>
            <a:ext uri="{FF2B5EF4-FFF2-40B4-BE49-F238E27FC236}">
              <a16:creationId xmlns:a16="http://schemas.microsoft.com/office/drawing/2014/main" id="{FD6DD432-588A-8A1C-D793-3FA43B322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25</xdr:row>
      <xdr:rowOff>144780</xdr:rowOff>
    </xdr:from>
    <xdr:to>
      <xdr:col>3</xdr:col>
      <xdr:colOff>609600</xdr:colOff>
      <xdr:row>37</xdr:row>
      <xdr:rowOff>7620</xdr:rowOff>
    </xdr:to>
    <xdr:graphicFrame macro="">
      <xdr:nvGraphicFramePr>
        <xdr:cNvPr id="5" name="Chart 4">
          <a:extLst>
            <a:ext uri="{FF2B5EF4-FFF2-40B4-BE49-F238E27FC236}">
              <a16:creationId xmlns:a16="http://schemas.microsoft.com/office/drawing/2014/main" id="{D04E559C-1363-5041-3B6B-AE5AA2ADB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315447</xdr:colOff>
      <xdr:row>26</xdr:row>
      <xdr:rowOff>64717</xdr:rowOff>
    </xdr:from>
    <xdr:to>
      <xdr:col>6</xdr:col>
      <xdr:colOff>860329</xdr:colOff>
      <xdr:row>39</xdr:row>
      <xdr:rowOff>89117</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8A9BD95-681E-7F48-ACA9-6B069B04E1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68652" y="494986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805945</xdr:colOff>
      <xdr:row>26</xdr:row>
      <xdr:rowOff>54175</xdr:rowOff>
    </xdr:from>
    <xdr:to>
      <xdr:col>5</xdr:col>
      <xdr:colOff>202608</xdr:colOff>
      <xdr:row>39</xdr:row>
      <xdr:rowOff>78575</xdr:rowOff>
    </xdr:to>
    <mc:AlternateContent xmlns:mc="http://schemas.openxmlformats.org/markup-compatibility/2006" xmlns:a14="http://schemas.microsoft.com/office/drawing/2010/main">
      <mc:Choice Requires="a14">
        <xdr:graphicFrame macro="">
          <xdr:nvGraphicFramePr>
            <xdr:cNvPr id="7" name="SALES PERSON">
              <a:extLst>
                <a:ext uri="{FF2B5EF4-FFF2-40B4-BE49-F238E27FC236}">
                  <a16:creationId xmlns:a16="http://schemas.microsoft.com/office/drawing/2014/main" id="{D214FAAC-6777-6C9A-5C87-702CCA5C7BA4}"/>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3927013" y="493932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941540</xdr:colOff>
      <xdr:row>26</xdr:row>
      <xdr:rowOff>54072</xdr:rowOff>
    </xdr:from>
    <xdr:to>
      <xdr:col>8</xdr:col>
      <xdr:colOff>400833</xdr:colOff>
      <xdr:row>39</xdr:row>
      <xdr:rowOff>78472</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FC3411F4-55E9-CBFF-8778-FB96AF89847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78663" y="493922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72442</xdr:colOff>
      <xdr:row>1</xdr:row>
      <xdr:rowOff>185594</xdr:rowOff>
    </xdr:from>
    <xdr:to>
      <xdr:col>13</xdr:col>
      <xdr:colOff>382879</xdr:colOff>
      <xdr:row>9</xdr:row>
      <xdr:rowOff>54070</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AA1DF6D6-2E20-7E11-8C82-2B9D12FB92F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279072" y="373484"/>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MAH MAJEED" refreshedDate="45625.451859375004" backgroundQuery="1" createdVersion="8" refreshedVersion="8" minRefreshableVersion="3" recordCount="0" supportSubquery="1" supportAdvancedDrill="1" xr:uid="{64208310-6093-43BF-A28F-C7F90135B04C}">
  <cacheSource type="external" connectionId="1"/>
  <cacheFields count="2">
    <cacheField name="[Table1].[PRODUCT CATEGORY].[PRODUCT CATEGORY]" caption="PRODUCT CATEGORY" numFmtId="0" hierarchy="3" level="1">
      <sharedItems count="6">
        <s v="CLOTHING"/>
        <s v="COSMETICS"/>
        <s v="ELECTRONICS"/>
        <s v="GROCERY"/>
        <s v="HOME APPLIANCES"/>
        <s v="STATIONERY"/>
      </sharedItems>
    </cacheField>
    <cacheField name="[Measures].[Sum of UNITS SOLD]" caption="Sum of UNITS SOLD" numFmtId="0" hierarchy="12" level="32767"/>
  </cacheFields>
  <cacheHierarchies count="13">
    <cacheHierarchy uniqueName="[Table1].[DATE]" caption="DATE" attribute="1" time="1" defaultMemberUniqueName="[Table1].[DATE].[All]" allUniqueName="[Table1].[DATE].[All]" dimensionUniqueName="[Table1]" displayFolder="" count="2" memberValueDatatype="7"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COST OF GOODS SOLD]" caption="COST OF GOODS SOLD" attribute="1" defaultMemberUniqueName="[Table1].[COST OF GOODS SOLD].[All]" allUniqueName="[Table1].[COST OF GOOD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MAH MAJEED" refreshedDate="45625.451860069443" backgroundQuery="1" createdVersion="8" refreshedVersion="8" minRefreshableVersion="3" recordCount="0" supportSubquery="1" supportAdvancedDrill="1" xr:uid="{9FB0D69F-51E6-4776-8484-6390B2A71352}">
  <cacheSource type="external" connectionId="1"/>
  <cacheFields count="2">
    <cacheField name="[Table1].[SALES PERSON].[SALES PERSON]" caption="SALES PERSON" numFmtId="0" hierarchy="1" level="1">
      <sharedItems count="6">
        <s v="JACOB"/>
        <s v="JOHN"/>
        <s v="RON"/>
        <s v="SAM"/>
        <s v="SMITH"/>
        <s v="WILL"/>
      </sharedItems>
    </cacheField>
    <cacheField name="[Measures].[Sum of TOTAL SALES]" caption="Sum of TOTAL SALES" numFmtId="0" hierarchy="11" level="32767"/>
  </cacheFields>
  <cacheHierarchies count="13">
    <cacheHierarchy uniqueName="[Table1].[DATE]" caption="DATE" attribute="1" time="1" defaultMemberUniqueName="[Table1].[DATE].[All]" allUniqueName="[Table1].[DATE].[All]" dimensionUniqueName="[Table1]" displayFolder="" count="2" memberValueDatatype="7" unbalanced="0"/>
    <cacheHierarchy uniqueName="[Table1].[SALES PERSON]" caption="SALES PERSON" attribute="1" defaultMemberUniqueName="[Table1].[SALES PERSON].[All]" allUniqueName="[Table1].[SALES PERSON].[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COST OF GOODS SOLD]" caption="COST OF GOODS SOLD" attribute="1" defaultMemberUniqueName="[Table1].[COST OF GOODS SOLD].[All]" allUniqueName="[Table1].[COST OF GOOD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MAH MAJEED" refreshedDate="45625.451860532405" backgroundQuery="1" createdVersion="8" refreshedVersion="8" minRefreshableVersion="3" recordCount="0" supportSubquery="1" supportAdvancedDrill="1" xr:uid="{59A38C82-4330-432A-8BDF-2A29E2CAC839}">
  <cacheSource type="external" connectionId="1"/>
  <cacheFields count="2">
    <cacheField name="[Measures].[Sum of TOTAL SALES]" caption="Sum of TOTAL SALES" numFmtId="0" hierarchy="11" level="32767"/>
    <cacheField name="[Table1].[REGION].[REGION]" caption="REGION" numFmtId="0" hierarchy="2" level="1">
      <sharedItems count="4">
        <s v="EAST"/>
        <s v="NORTH"/>
        <s v="SOUTH"/>
        <s v="WEST"/>
      </sharedItems>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COST OF GOODS SOLD]" caption="COST OF GOODS SOLD" attribute="1" defaultMemberUniqueName="[Table1].[COST OF GOODS SOLD].[All]" allUniqueName="[Table1].[COST OF GOOD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MAH MAJEED" refreshedDate="45625.451860879628" backgroundQuery="1" createdVersion="8" refreshedVersion="8" minRefreshableVersion="3" recordCount="0" supportSubquery="1" supportAdvancedDrill="1" xr:uid="{CF06BEBB-BCDB-4435-908D-E1753CA0D3D8}">
  <cacheSource type="external" connectionId="1"/>
  <cacheFields count="2">
    <cacheField name="[Measures].[Sum of TOTAL SALES]" caption="Sum of TOTAL SALES" numFmtId="0" hierarchy="11" level="32767"/>
    <cacheField name="[Table1].[PRODUCT CATEGORY].[PRODUCT CATEGORY]" caption="PRODUCT CATEGORY" numFmtId="0" hierarchy="3" level="1">
      <sharedItems count="6">
        <s v="CLOTHING"/>
        <s v="COSMETICS"/>
        <s v="ELECTRONICS"/>
        <s v="GROCERY"/>
        <s v="HOME APPLIANCES"/>
        <s v="STATIONERY"/>
      </sharedItems>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COST OF GOODS SOLD]" caption="COST OF GOODS SOLD" attribute="1" defaultMemberUniqueName="[Table1].[COST OF GOODS SOLD].[All]" allUniqueName="[Table1].[COST OF GOOD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MAH MAJEED" refreshedDate="45625.438738078701" backgroundQuery="1" createdVersion="3" refreshedVersion="8" minRefreshableVersion="3" recordCount="0" supportSubquery="1" supportAdvancedDrill="1" xr:uid="{E45C7BE9-320C-4D31-9073-EAD1140ACD1C}">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0" memberValueDatatype="7"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COST OF GOODS SOLD]" caption="COST OF GOODS SOLD" attribute="1" defaultMemberUniqueName="[Table1].[COST OF GOODS SOLD].[All]" allUniqueName="[Table1].[COST OF GOOD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52511950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MAH MAJEED" refreshedDate="45625.438895254629" backgroundQuery="1" createdVersion="3" refreshedVersion="8" minRefreshableVersion="3" recordCount="0" supportSubquery="1" supportAdvancedDrill="1" xr:uid="{2217B6FE-B617-4463-AA7C-4E2052C006C2}">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2" memberValueDatatype="7"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COST OF GOODS SOLD]" caption="COST OF GOODS SOLD" attribute="1" defaultMemberUniqueName="[Table1].[COST OF GOODS SOLD].[All]" allUniqueName="[Table1].[COST OF GOOD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2951673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E4622A-9C49-43FB-AA8A-CCD9C4EA1ED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2F6536-6C4C-4990-BC14-A267C5D839F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
  <location ref="G3:H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UNITS SOL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FD7AD-1700-4E77-9429-E2F4AC5BB2C5}"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3:F10" firstHeaderRow="1" firstDataRow="1" firstDataCol="1"/>
  <pivotFields count="2">
    <pivotField dataField="1" subtotalTop="0" showAll="0" defaultSubtotal="0"/>
    <pivotField axis="axisRow" allDrilled="1" subtotalTop="0" showAll="0" defaultSubtotal="0" defaultAttributeDrillState="1">
      <items count="6">
        <item x="1"/>
        <item x="4"/>
        <item x="0"/>
        <item x="2"/>
        <item x="5"/>
        <item x="3"/>
      </items>
    </pivotField>
  </pivotFields>
  <rowFields count="1">
    <field x="1"/>
  </rowFields>
  <rowItems count="7">
    <i>
      <x/>
    </i>
    <i>
      <x v="1"/>
    </i>
    <i>
      <x v="2"/>
    </i>
    <i>
      <x v="3"/>
    </i>
    <i>
      <x v="4"/>
    </i>
    <i>
      <x v="5"/>
    </i>
    <i t="grand">
      <x/>
    </i>
  </rowItems>
  <colItems count="1">
    <i/>
  </colItems>
  <dataFields count="1">
    <dataField name="Sum of TOTAL SALES"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5B322-DB62-4C25-89F8-44E11861A0B4}"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C3:D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 SALES" fld="0"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13">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A5330C-99EC-4B2F-8B98-2589EEE4B019}" sourceName="[Table1].[REGION]">
  <pivotTables>
    <pivotTable tabId="2" name="PivotTable4"/>
    <pivotTable tabId="2" name="PivotTable1"/>
    <pivotTable tabId="2" name="PivotTable2"/>
    <pivotTable tabId="2" name="PivotTable3"/>
  </pivotTables>
  <data>
    <olap pivotCacheId="525119507">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E87652DB-75E1-4F33-A601-86195F1DB450}" sourceName="[Table1].[SALES PERSON]">
  <pivotTables>
    <pivotTable tabId="2" name="PivotTable4"/>
    <pivotTable tabId="2" name="PivotTable1"/>
    <pivotTable tabId="2" name="PivotTable2"/>
    <pivotTable tabId="2" name="PivotTable3"/>
  </pivotTables>
  <data>
    <olap pivotCacheId="525119507">
      <levels count="2">
        <level uniqueName="[Table1].[SALES PERSON].[(All)]" sourceCaption="(All)" count="0"/>
        <level uniqueName="[Table1].[SALES PERSON].[SALES PERSON]" sourceCaption="SALES PERSON" count="6">
          <ranges>
            <range startItem="0">
              <i n="[Table1].[SALES PERSON].&amp;[JACOB]" c="JACOB"/>
              <i n="[Table1].[SALES PERSON].&amp;[JOHN]" c="JOHN"/>
              <i n="[Table1].[SALES PERSON].&amp;[RON]" c="RON"/>
              <i n="[Table1].[SALES PERSON].&amp;[SAM]" c="SAM"/>
              <i n="[Table1].[SALES PERSON].&amp;[SMITH]" c="SMITH"/>
              <i n="[Table1].[SALES PERSON].&amp;[WILL]" c="WILL"/>
            </range>
          </ranges>
        </level>
      </levels>
      <selections count="1">
        <selection n="[Table1].[SALES 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F74D1EE-7C32-410D-8D68-941B5FC03B36}" sourceName="[Table1].[PRODUCT CATEGORY]">
  <pivotTables>
    <pivotTable tabId="2" name="PivotTable4"/>
    <pivotTable tabId="2" name="PivotTable1"/>
    <pivotTable tabId="2" name="PivotTable2"/>
    <pivotTable tabId="2" name="PivotTable3"/>
  </pivotTables>
  <data>
    <olap pivotCacheId="525119507">
      <levels count="2">
        <level uniqueName="[Table1].[PRODUCT CATEGORY].[(All)]" sourceCaption="(All)" count="0"/>
        <level uniqueName="[Table1].[PRODUCT CATEGORY].[PRODUCT CATEGORY]" sourceCaption="PRODUCT CATEGORY" count="6">
          <ranges>
            <range startItem="0">
              <i n="[Table1].[PRODUCT CATEGORY].&amp;[CLOTHING]" c="CLOTHING"/>
              <i n="[Table1].[PRODUCT CATEGORY].&amp;[COSMETICS]" c="COSMETICS"/>
              <i n="[Table1].[PRODUCT CATEGORY].&amp;[ELECTRONICS]" c="ELECTRONICS"/>
              <i n="[Table1].[PRODUCT CATEGORY].&amp;[GROCERY]" c="GROCERY"/>
              <i n="[Table1].[PRODUCT CATEGORY].&amp;[HOME APPLIANCES]" c="HOME APPLIANCES"/>
              <i n="[Table1].[PRODUCT CATEGORY].&amp;[STATIONERY]" c="STATIONERY"/>
            </range>
          </ranges>
        </level>
      </levels>
      <selections count="1">
        <selection n="[Table1].[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ECFAA24-389D-4FD6-9903-EA975E384B8D}" cache="Slicer_REGION" caption="REGION" columnCount="2" level="1" style="SlicerStyleLight2" rowHeight="234950"/>
  <slicer name="SALES PERSON 1" xr10:uid="{A67184BA-FDAA-4D85-BE1E-0D2770ED8CE1}" cache="Slicer_SALES_PERSON" caption="SALES PERSON" level="1" style="SlicerStyleLight2" rowHeight="234950"/>
  <slicer name="PRODUCT CATEGORY 1" xr10:uid="{7278DE4D-6919-47E0-9C1A-E10C72698733}" cache="Slicer_PRODUCT_CATEGORY" caption="PRODUCT CATEGORY"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38C878-FE24-4EB4-B8C2-2674B415D151}" cache="Slicer_REGION" caption="REGION" level="1" rowHeight="234950"/>
  <slicer name="SALES PERSON" xr10:uid="{E5DB24AD-CAF9-4283-9A13-59E7549858E7}" cache="Slicer_SALES_PERSON" caption="SALES PERSON" level="1" rowHeight="234950"/>
  <slicer name="PRODUCT CATEGORY" xr10:uid="{B047B320-D534-4603-8C67-5735CC24AC50}" cache="Slicer_PRODUCT_CATEGORY" caption="PRODUCT 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D23C60-D9F9-4F41-A63F-9AE1FAE84300}" name="Table1" displayName="Table1" ref="A1:I46" totalsRowShown="0">
  <autoFilter ref="A1:I46" xr:uid="{7CD23C60-D9F9-4F41-A63F-9AE1FAE84300}"/>
  <tableColumns count="9">
    <tableColumn id="1" xr3:uid="{4452012E-08DD-4C1D-A7AF-9BD784F3E648}" name="DATE" dataDxfId="0"/>
    <tableColumn id="2" xr3:uid="{AB766224-4DF6-4377-B1C2-C176386CDBDB}" name="SALES PERSON"/>
    <tableColumn id="3" xr3:uid="{EFBC12B0-FAE4-44AE-A417-5E1A4D997E9A}" name="REGION"/>
    <tableColumn id="4" xr3:uid="{F6283361-B8C6-4194-A91D-733F090B78FB}" name="PRODUCT CATEGORY"/>
    <tableColumn id="5" xr3:uid="{7AC3F11A-9149-4D44-843C-790B6594FAC4}" name="UNITS SOLD"/>
    <tableColumn id="6" xr3:uid="{934DE3FD-3BB0-4E8F-AECA-58E08F3B15DC}" name="UNIT PRICE">
      <calculatedColumnFormula>IF(D2="HOME APPLIANCES",5000,IF(D2="ELECTRONICS",2000,IF(D2="COSMETICS",500,IF(D2="",200,IF(D2="CLOTHING",1000,IF(D2="STATIONERY",50,IF(D2="GROCERY",100,"NOT FOUND")))))))</calculatedColumnFormula>
    </tableColumn>
    <tableColumn id="7" xr3:uid="{4968CEA7-A149-48DE-B7DA-E37BD205638C}" name="COST OF GOODS SOLD">
      <calculatedColumnFormula>IF(D2="HOME APPLIANCES",3000,IF(D2="ELECTRONICS",1500,IF(D2="COSMETICS",450,IF(D2="CLOTHING",800,IF(D2="STATIONERY",25,IF(D2="GROCERY",75,"NOT FOUND"))))))</calculatedColumnFormula>
    </tableColumn>
    <tableColumn id="8" xr3:uid="{C73502A8-82A0-4FBB-BF2F-7AD127C04A4A}" name="TOTAL SALES">
      <calculatedColumnFormula>E2*F2</calculatedColumnFormula>
    </tableColumn>
    <tableColumn id="9" xr3:uid="{CA11C208-1F89-40F3-BAC5-D491F1070500}" name="PROFIT">
      <calculatedColumnFormula>H2-(G2*E2)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49DE87D-CE61-4F40-9D60-7C970B226187}" sourceName="[Table1].[DATE]">
  <pivotTables>
    <pivotTable tabId="2" name="PivotTable4"/>
    <pivotTable tabId="2" name="PivotTable1"/>
    <pivotTable tabId="2" name="PivotTable2"/>
    <pivotTable tabId="2" name="PivotTable3"/>
  </pivotTables>
  <state minimalRefreshVersion="6" lastRefreshVersion="6" pivotCacheId="29516737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8D2792E-632A-4B8F-8D47-E66DE442D691}" cache="Timeline_DATE" caption="DATE" level="0" selectionLevel="0" scrollPosition="2023-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C2388D-FC14-4D54-A452-7D41EEF3F0CD}" cache="Timeline_DATE" caption="DATE" level="0" selectionLevel="0"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B5C0-567F-44C5-8777-BF7B253785BE}">
  <sheetPr>
    <tabColor rgb="FFC00000"/>
  </sheetPr>
  <dimension ref="A1"/>
  <sheetViews>
    <sheetView showGridLines="0" showRowColHeaders="0" tabSelected="1" zoomScale="68" workbookViewId="0">
      <selection activeCell="X17" sqref="X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DFA6-C53B-4AF9-AE02-EEE32D481C5D}">
  <dimension ref="A1:K46"/>
  <sheetViews>
    <sheetView workbookViewId="0">
      <selection activeCell="B2" sqref="B2"/>
    </sheetView>
  </sheetViews>
  <sheetFormatPr defaultRowHeight="14.4" x14ac:dyDescent="0.3"/>
  <cols>
    <col min="1" max="1" width="10.88671875" style="1" bestFit="1" customWidth="1"/>
    <col min="2" max="2" width="15.21875" customWidth="1"/>
    <col min="3" max="3" width="9.6640625" customWidth="1"/>
    <col min="4" max="4" width="20.88671875" customWidth="1"/>
    <col min="5" max="5" width="13" customWidth="1"/>
    <col min="6" max="6" width="12.44140625" customWidth="1"/>
    <col min="7" max="7" width="22.109375" customWidth="1"/>
    <col min="8" max="8" width="13.6640625" customWidth="1"/>
    <col min="9" max="9" width="9.109375" customWidth="1"/>
    <col min="11" max="11" width="14.88671875" bestFit="1" customWidth="1"/>
    <col min="14" max="14" width="10.88671875" bestFit="1" customWidth="1"/>
    <col min="15" max="15" width="14.44140625" bestFit="1" customWidth="1"/>
  </cols>
  <sheetData>
    <row r="1" spans="1:11" x14ac:dyDescent="0.3">
      <c r="A1" s="1" t="s">
        <v>0</v>
      </c>
      <c r="B1" t="s">
        <v>1</v>
      </c>
      <c r="C1" t="s">
        <v>2</v>
      </c>
      <c r="D1" t="s">
        <v>3</v>
      </c>
      <c r="E1" t="s">
        <v>4</v>
      </c>
      <c r="F1" t="s">
        <v>5</v>
      </c>
      <c r="G1" t="s">
        <v>6</v>
      </c>
      <c r="H1" t="s">
        <v>7</v>
      </c>
      <c r="I1" t="s">
        <v>8</v>
      </c>
    </row>
    <row r="2" spans="1:11" x14ac:dyDescent="0.3">
      <c r="A2" s="1">
        <v>44939</v>
      </c>
      <c r="B2" t="s">
        <v>9</v>
      </c>
      <c r="C2" t="s">
        <v>10</v>
      </c>
      <c r="D2" t="s">
        <v>11</v>
      </c>
      <c r="E2">
        <v>80</v>
      </c>
      <c r="F2">
        <f t="shared" ref="F2:F46" si="0">IF(D2="HOME APPLIANCES",5000,IF(D2="ELECTRONICS",2000,IF(D2="COSMETICS",500,IF(D2="",200,IF(D2="CLOTHING",1000,IF(D2="STATIONERY",50,IF(D2="GROCERY",100,"NOT FOUND")))))))</f>
        <v>5000</v>
      </c>
      <c r="G2">
        <f>IF(D2="HOME APPLIANCES",3000,IF(D2="ELECTRONICS",1500,IF(D2="COSMETICS",450,IF(D2="CLOTHING",800,IF(D2="STATIONERY",25,IF(D2="GROCERY",75,"NOT FOUND"))))))</f>
        <v>3000</v>
      </c>
      <c r="H2">
        <f>E2*F2</f>
        <v>400000</v>
      </c>
      <c r="I2">
        <f>H2-(G2*E2)</f>
        <v>160000</v>
      </c>
    </row>
    <row r="3" spans="1:11" ht="15.6" x14ac:dyDescent="0.3">
      <c r="A3" s="1">
        <v>45502</v>
      </c>
      <c r="B3" t="s">
        <v>12</v>
      </c>
      <c r="C3" t="s">
        <v>13</v>
      </c>
      <c r="D3" t="s">
        <v>14</v>
      </c>
      <c r="E3">
        <v>66</v>
      </c>
      <c r="F3">
        <f t="shared" si="0"/>
        <v>2000</v>
      </c>
      <c r="G3">
        <f t="shared" ref="G3:G46" si="1">IF(D3="HOME APPLIANCES",3000,IF(D3="ELECTRONICS",1500,IF(D3="COSMETICS",450,IF(D3="CLOTHING",800,IF(D3="STATIONERY",25,IF(D3="GROCERY",75,"NOT FOUND"))))))</f>
        <v>1500</v>
      </c>
      <c r="H3">
        <f t="shared" ref="H3:H46" si="2">E3*F3</f>
        <v>132000</v>
      </c>
      <c r="I3">
        <f t="shared" ref="I3:I46" si="3">H3-(G3*E3)</f>
        <v>33000</v>
      </c>
      <c r="K3" s="2" t="s">
        <v>7</v>
      </c>
    </row>
    <row r="4" spans="1:11" x14ac:dyDescent="0.3">
      <c r="A4" s="1">
        <v>45889</v>
      </c>
      <c r="B4" t="s">
        <v>15</v>
      </c>
      <c r="C4" t="s">
        <v>16</v>
      </c>
      <c r="D4" t="s">
        <v>17</v>
      </c>
      <c r="E4">
        <v>64</v>
      </c>
      <c r="F4">
        <f t="shared" si="0"/>
        <v>500</v>
      </c>
      <c r="G4">
        <f t="shared" si="1"/>
        <v>450</v>
      </c>
      <c r="H4">
        <f t="shared" si="2"/>
        <v>32000</v>
      </c>
      <c r="I4">
        <f t="shared" si="3"/>
        <v>3200</v>
      </c>
      <c r="K4">
        <f>SUM(Table1[TOTAL SALES])</f>
        <v>5388850</v>
      </c>
    </row>
    <row r="5" spans="1:11" ht="15.6" x14ac:dyDescent="0.3">
      <c r="A5" s="1">
        <v>45942</v>
      </c>
      <c r="B5" t="s">
        <v>18</v>
      </c>
      <c r="C5" t="s">
        <v>10</v>
      </c>
      <c r="D5" t="s">
        <v>19</v>
      </c>
      <c r="E5">
        <v>88</v>
      </c>
      <c r="F5">
        <f t="shared" si="0"/>
        <v>1000</v>
      </c>
      <c r="G5">
        <f t="shared" si="1"/>
        <v>800</v>
      </c>
      <c r="H5">
        <f t="shared" si="2"/>
        <v>88000</v>
      </c>
      <c r="I5">
        <f t="shared" si="3"/>
        <v>17600</v>
      </c>
      <c r="K5" s="2" t="s">
        <v>4</v>
      </c>
    </row>
    <row r="6" spans="1:11" x14ac:dyDescent="0.3">
      <c r="A6" s="1">
        <v>45149</v>
      </c>
      <c r="B6" t="s">
        <v>20</v>
      </c>
      <c r="C6" t="s">
        <v>13</v>
      </c>
      <c r="D6" t="s">
        <v>21</v>
      </c>
      <c r="E6">
        <v>58</v>
      </c>
      <c r="F6">
        <f t="shared" si="0"/>
        <v>50</v>
      </c>
      <c r="G6">
        <f t="shared" si="1"/>
        <v>25</v>
      </c>
      <c r="H6">
        <f t="shared" si="2"/>
        <v>2900</v>
      </c>
      <c r="I6">
        <f t="shared" si="3"/>
        <v>1450</v>
      </c>
      <c r="K6">
        <f>SUM(Table1[UNITS SOLD])</f>
        <v>3424</v>
      </c>
    </row>
    <row r="7" spans="1:11" ht="15.6" x14ac:dyDescent="0.3">
      <c r="A7" s="1">
        <v>44950</v>
      </c>
      <c r="B7" t="s">
        <v>20</v>
      </c>
      <c r="C7" t="s">
        <v>16</v>
      </c>
      <c r="D7" t="s">
        <v>22</v>
      </c>
      <c r="E7">
        <v>88</v>
      </c>
      <c r="F7">
        <f t="shared" si="0"/>
        <v>100</v>
      </c>
      <c r="G7">
        <f t="shared" si="1"/>
        <v>75</v>
      </c>
      <c r="H7">
        <f t="shared" si="2"/>
        <v>8800</v>
      </c>
      <c r="I7">
        <f t="shared" si="3"/>
        <v>2200</v>
      </c>
      <c r="K7" s="2" t="s">
        <v>8</v>
      </c>
    </row>
    <row r="8" spans="1:11" x14ac:dyDescent="0.3">
      <c r="A8" s="1">
        <v>45848</v>
      </c>
      <c r="B8" t="s">
        <v>18</v>
      </c>
      <c r="C8" t="s">
        <v>23</v>
      </c>
      <c r="D8" t="s">
        <v>11</v>
      </c>
      <c r="E8">
        <v>93</v>
      </c>
      <c r="F8">
        <f t="shared" si="0"/>
        <v>5000</v>
      </c>
      <c r="G8">
        <f t="shared" si="1"/>
        <v>3000</v>
      </c>
      <c r="H8">
        <f t="shared" si="2"/>
        <v>465000</v>
      </c>
      <c r="I8">
        <f t="shared" si="3"/>
        <v>186000</v>
      </c>
      <c r="K8">
        <f>SUM(Table1[PROFIT])</f>
        <v>1774700</v>
      </c>
    </row>
    <row r="9" spans="1:11" ht="15.6" x14ac:dyDescent="0.3">
      <c r="A9" s="1">
        <v>45238</v>
      </c>
      <c r="B9" t="s">
        <v>9</v>
      </c>
      <c r="C9" t="s">
        <v>10</v>
      </c>
      <c r="D9" t="s">
        <v>14</v>
      </c>
      <c r="E9">
        <v>51</v>
      </c>
      <c r="F9">
        <f t="shared" si="0"/>
        <v>2000</v>
      </c>
      <c r="G9">
        <f t="shared" si="1"/>
        <v>1500</v>
      </c>
      <c r="H9">
        <f t="shared" si="2"/>
        <v>102000</v>
      </c>
      <c r="I9">
        <f t="shared" si="3"/>
        <v>25500</v>
      </c>
      <c r="K9" s="2" t="s">
        <v>24</v>
      </c>
    </row>
    <row r="10" spans="1:11" x14ac:dyDescent="0.3">
      <c r="A10" s="1">
        <v>45615</v>
      </c>
      <c r="B10" t="s">
        <v>12</v>
      </c>
      <c r="C10" t="s">
        <v>13</v>
      </c>
      <c r="D10" t="s">
        <v>17</v>
      </c>
      <c r="E10">
        <v>85</v>
      </c>
      <c r="F10">
        <f t="shared" si="0"/>
        <v>500</v>
      </c>
      <c r="G10">
        <f t="shared" si="1"/>
        <v>450</v>
      </c>
      <c r="H10">
        <f t="shared" si="2"/>
        <v>42500</v>
      </c>
      <c r="I10">
        <f t="shared" si="3"/>
        <v>4250</v>
      </c>
      <c r="K10" s="3">
        <f>AVERAGE(Table1[TOTAL SALES])</f>
        <v>119752.22222222222</v>
      </c>
    </row>
    <row r="11" spans="1:11" x14ac:dyDescent="0.3">
      <c r="A11" s="1">
        <v>45201</v>
      </c>
      <c r="B11" t="s">
        <v>25</v>
      </c>
      <c r="C11" t="s">
        <v>23</v>
      </c>
      <c r="D11" t="s">
        <v>19</v>
      </c>
      <c r="E11">
        <v>60</v>
      </c>
      <c r="F11">
        <f t="shared" si="0"/>
        <v>1000</v>
      </c>
      <c r="G11">
        <f t="shared" si="1"/>
        <v>800</v>
      </c>
      <c r="H11">
        <f t="shared" si="2"/>
        <v>60000</v>
      </c>
      <c r="I11">
        <f t="shared" si="3"/>
        <v>12000</v>
      </c>
    </row>
    <row r="12" spans="1:11" x14ac:dyDescent="0.3">
      <c r="A12" s="1">
        <v>44942</v>
      </c>
      <c r="B12" t="s">
        <v>18</v>
      </c>
      <c r="C12" t="s">
        <v>10</v>
      </c>
      <c r="D12" t="s">
        <v>21</v>
      </c>
      <c r="E12">
        <v>95</v>
      </c>
      <c r="F12">
        <f t="shared" si="0"/>
        <v>50</v>
      </c>
      <c r="G12">
        <f t="shared" si="1"/>
        <v>25</v>
      </c>
      <c r="H12">
        <f t="shared" si="2"/>
        <v>4750</v>
      </c>
      <c r="I12">
        <f t="shared" si="3"/>
        <v>2375</v>
      </c>
    </row>
    <row r="13" spans="1:11" x14ac:dyDescent="0.3">
      <c r="A13" s="1">
        <v>45949</v>
      </c>
      <c r="B13" t="s">
        <v>20</v>
      </c>
      <c r="C13" t="s">
        <v>13</v>
      </c>
      <c r="D13" t="s">
        <v>22</v>
      </c>
      <c r="E13">
        <v>75</v>
      </c>
      <c r="F13">
        <f t="shared" si="0"/>
        <v>100</v>
      </c>
      <c r="G13">
        <f t="shared" si="1"/>
        <v>75</v>
      </c>
      <c r="H13">
        <f t="shared" si="2"/>
        <v>7500</v>
      </c>
      <c r="I13">
        <f t="shared" si="3"/>
        <v>1875</v>
      </c>
    </row>
    <row r="14" spans="1:11" x14ac:dyDescent="0.3">
      <c r="A14" s="1">
        <v>45433</v>
      </c>
      <c r="B14" t="s">
        <v>12</v>
      </c>
      <c r="C14" t="s">
        <v>16</v>
      </c>
      <c r="D14" t="s">
        <v>11</v>
      </c>
      <c r="E14">
        <v>90</v>
      </c>
      <c r="F14">
        <f t="shared" si="0"/>
        <v>5000</v>
      </c>
      <c r="G14">
        <f t="shared" si="1"/>
        <v>3000</v>
      </c>
      <c r="H14">
        <f t="shared" si="2"/>
        <v>450000</v>
      </c>
      <c r="I14">
        <f t="shared" si="3"/>
        <v>180000</v>
      </c>
    </row>
    <row r="15" spans="1:11" x14ac:dyDescent="0.3">
      <c r="A15" s="1">
        <v>45156</v>
      </c>
      <c r="B15" t="s">
        <v>15</v>
      </c>
      <c r="C15" t="s">
        <v>23</v>
      </c>
      <c r="D15" t="s">
        <v>14</v>
      </c>
      <c r="E15">
        <v>66</v>
      </c>
      <c r="F15">
        <f t="shared" si="0"/>
        <v>2000</v>
      </c>
      <c r="G15">
        <f t="shared" si="1"/>
        <v>1500</v>
      </c>
      <c r="H15">
        <f t="shared" si="2"/>
        <v>132000</v>
      </c>
      <c r="I15">
        <f t="shared" si="3"/>
        <v>33000</v>
      </c>
    </row>
    <row r="16" spans="1:11" x14ac:dyDescent="0.3">
      <c r="A16" s="1">
        <v>45380</v>
      </c>
      <c r="B16" t="s">
        <v>9</v>
      </c>
      <c r="C16" t="s">
        <v>10</v>
      </c>
      <c r="D16" t="s">
        <v>17</v>
      </c>
      <c r="E16">
        <v>68</v>
      </c>
      <c r="F16">
        <f t="shared" si="0"/>
        <v>500</v>
      </c>
      <c r="G16">
        <f t="shared" si="1"/>
        <v>450</v>
      </c>
      <c r="H16">
        <f t="shared" si="2"/>
        <v>34000</v>
      </c>
      <c r="I16">
        <f t="shared" si="3"/>
        <v>3400</v>
      </c>
    </row>
    <row r="17" spans="1:9" x14ac:dyDescent="0.3">
      <c r="A17" s="1">
        <v>45941</v>
      </c>
      <c r="B17" t="s">
        <v>15</v>
      </c>
      <c r="C17" t="s">
        <v>16</v>
      </c>
      <c r="D17" t="s">
        <v>19</v>
      </c>
      <c r="E17">
        <v>76</v>
      </c>
      <c r="F17">
        <f t="shared" si="0"/>
        <v>1000</v>
      </c>
      <c r="G17">
        <f t="shared" si="1"/>
        <v>800</v>
      </c>
      <c r="H17">
        <f t="shared" si="2"/>
        <v>76000</v>
      </c>
      <c r="I17">
        <f t="shared" si="3"/>
        <v>15200</v>
      </c>
    </row>
    <row r="18" spans="1:9" x14ac:dyDescent="0.3">
      <c r="A18" s="1">
        <v>44979</v>
      </c>
      <c r="B18" t="s">
        <v>25</v>
      </c>
      <c r="C18" t="s">
        <v>23</v>
      </c>
      <c r="D18" t="s">
        <v>21</v>
      </c>
      <c r="E18">
        <v>76</v>
      </c>
      <c r="F18">
        <f t="shared" si="0"/>
        <v>50</v>
      </c>
      <c r="G18">
        <f t="shared" si="1"/>
        <v>25</v>
      </c>
      <c r="H18">
        <f t="shared" si="2"/>
        <v>3800</v>
      </c>
      <c r="I18">
        <f t="shared" si="3"/>
        <v>1900</v>
      </c>
    </row>
    <row r="19" spans="1:9" x14ac:dyDescent="0.3">
      <c r="A19" s="1">
        <v>45362</v>
      </c>
      <c r="B19" t="s">
        <v>18</v>
      </c>
      <c r="C19" t="s">
        <v>10</v>
      </c>
      <c r="D19" t="s">
        <v>22</v>
      </c>
      <c r="E19">
        <v>87</v>
      </c>
      <c r="F19">
        <f t="shared" si="0"/>
        <v>100</v>
      </c>
      <c r="G19">
        <f t="shared" si="1"/>
        <v>75</v>
      </c>
      <c r="H19">
        <f t="shared" si="2"/>
        <v>8700</v>
      </c>
      <c r="I19">
        <f t="shared" si="3"/>
        <v>2175</v>
      </c>
    </row>
    <row r="20" spans="1:9" x14ac:dyDescent="0.3">
      <c r="A20" s="1">
        <v>45406</v>
      </c>
      <c r="B20" t="s">
        <v>20</v>
      </c>
      <c r="C20" t="s">
        <v>13</v>
      </c>
      <c r="D20" t="s">
        <v>11</v>
      </c>
      <c r="E20">
        <v>97</v>
      </c>
      <c r="F20">
        <f t="shared" si="0"/>
        <v>5000</v>
      </c>
      <c r="G20">
        <f t="shared" si="1"/>
        <v>3000</v>
      </c>
      <c r="H20">
        <f t="shared" si="2"/>
        <v>485000</v>
      </c>
      <c r="I20">
        <f t="shared" si="3"/>
        <v>194000</v>
      </c>
    </row>
    <row r="21" spans="1:9" x14ac:dyDescent="0.3">
      <c r="A21" s="1">
        <v>45570</v>
      </c>
      <c r="B21" t="s">
        <v>9</v>
      </c>
      <c r="C21" t="s">
        <v>16</v>
      </c>
      <c r="D21" t="s">
        <v>14</v>
      </c>
      <c r="E21">
        <v>87</v>
      </c>
      <c r="F21">
        <f t="shared" si="0"/>
        <v>2000</v>
      </c>
      <c r="G21">
        <f t="shared" si="1"/>
        <v>1500</v>
      </c>
      <c r="H21">
        <f t="shared" si="2"/>
        <v>174000</v>
      </c>
      <c r="I21">
        <f t="shared" si="3"/>
        <v>43500</v>
      </c>
    </row>
    <row r="22" spans="1:9" x14ac:dyDescent="0.3">
      <c r="A22" s="1">
        <v>45871</v>
      </c>
      <c r="B22" t="s">
        <v>12</v>
      </c>
      <c r="C22" t="s">
        <v>23</v>
      </c>
      <c r="D22" t="s">
        <v>17</v>
      </c>
      <c r="E22">
        <v>82</v>
      </c>
      <c r="F22">
        <f t="shared" si="0"/>
        <v>500</v>
      </c>
      <c r="G22">
        <f t="shared" si="1"/>
        <v>450</v>
      </c>
      <c r="H22">
        <f t="shared" si="2"/>
        <v>41000</v>
      </c>
      <c r="I22">
        <f t="shared" si="3"/>
        <v>4100</v>
      </c>
    </row>
    <row r="23" spans="1:9" x14ac:dyDescent="0.3">
      <c r="A23" s="1">
        <v>45110</v>
      </c>
      <c r="B23" t="s">
        <v>25</v>
      </c>
      <c r="C23" t="s">
        <v>13</v>
      </c>
      <c r="D23" t="s">
        <v>19</v>
      </c>
      <c r="E23">
        <v>100</v>
      </c>
      <c r="F23">
        <f t="shared" si="0"/>
        <v>1000</v>
      </c>
      <c r="G23">
        <f t="shared" si="1"/>
        <v>800</v>
      </c>
      <c r="H23">
        <f t="shared" si="2"/>
        <v>100000</v>
      </c>
      <c r="I23">
        <f t="shared" si="3"/>
        <v>20000</v>
      </c>
    </row>
    <row r="24" spans="1:9" x14ac:dyDescent="0.3">
      <c r="A24" s="1">
        <v>45836</v>
      </c>
      <c r="B24" t="s">
        <v>18</v>
      </c>
      <c r="C24" t="s">
        <v>16</v>
      </c>
      <c r="D24" t="s">
        <v>21</v>
      </c>
      <c r="E24">
        <v>94</v>
      </c>
      <c r="F24">
        <f t="shared" si="0"/>
        <v>50</v>
      </c>
      <c r="G24">
        <f t="shared" si="1"/>
        <v>25</v>
      </c>
      <c r="H24">
        <f t="shared" si="2"/>
        <v>4700</v>
      </c>
      <c r="I24">
        <f t="shared" si="3"/>
        <v>2350</v>
      </c>
    </row>
    <row r="25" spans="1:9" x14ac:dyDescent="0.3">
      <c r="A25" s="1">
        <v>45392</v>
      </c>
      <c r="B25" t="s">
        <v>20</v>
      </c>
      <c r="C25" t="s">
        <v>23</v>
      </c>
      <c r="D25" t="s">
        <v>22</v>
      </c>
      <c r="E25">
        <v>69</v>
      </c>
      <c r="F25">
        <f t="shared" si="0"/>
        <v>100</v>
      </c>
      <c r="G25">
        <f t="shared" si="1"/>
        <v>75</v>
      </c>
      <c r="H25">
        <f t="shared" si="2"/>
        <v>6900</v>
      </c>
      <c r="I25">
        <f t="shared" si="3"/>
        <v>1725</v>
      </c>
    </row>
    <row r="26" spans="1:9" x14ac:dyDescent="0.3">
      <c r="A26" s="1">
        <v>45392</v>
      </c>
      <c r="B26" t="s">
        <v>9</v>
      </c>
      <c r="C26" t="s">
        <v>10</v>
      </c>
      <c r="D26" t="s">
        <v>11</v>
      </c>
      <c r="E26">
        <v>97</v>
      </c>
      <c r="F26">
        <f t="shared" si="0"/>
        <v>5000</v>
      </c>
      <c r="G26">
        <f t="shared" si="1"/>
        <v>3000</v>
      </c>
      <c r="H26">
        <f t="shared" si="2"/>
        <v>485000</v>
      </c>
      <c r="I26">
        <f t="shared" si="3"/>
        <v>194000</v>
      </c>
    </row>
    <row r="27" spans="1:9" x14ac:dyDescent="0.3">
      <c r="A27" s="1">
        <v>45606</v>
      </c>
      <c r="B27" t="s">
        <v>12</v>
      </c>
      <c r="C27" t="s">
        <v>13</v>
      </c>
      <c r="D27" t="s">
        <v>14</v>
      </c>
      <c r="E27">
        <v>100</v>
      </c>
      <c r="F27">
        <f t="shared" si="0"/>
        <v>2000</v>
      </c>
      <c r="G27">
        <f t="shared" si="1"/>
        <v>1500</v>
      </c>
      <c r="H27">
        <f t="shared" si="2"/>
        <v>200000</v>
      </c>
      <c r="I27">
        <f t="shared" si="3"/>
        <v>50000</v>
      </c>
    </row>
    <row r="28" spans="1:9" x14ac:dyDescent="0.3">
      <c r="A28" s="1">
        <v>45604</v>
      </c>
      <c r="B28" t="s">
        <v>15</v>
      </c>
      <c r="C28" t="s">
        <v>16</v>
      </c>
      <c r="D28" t="s">
        <v>17</v>
      </c>
      <c r="E28">
        <v>75</v>
      </c>
      <c r="F28">
        <f t="shared" si="0"/>
        <v>500</v>
      </c>
      <c r="G28">
        <f t="shared" si="1"/>
        <v>450</v>
      </c>
      <c r="H28">
        <f t="shared" si="2"/>
        <v>37500</v>
      </c>
      <c r="I28">
        <f t="shared" si="3"/>
        <v>3750</v>
      </c>
    </row>
    <row r="29" spans="1:9" x14ac:dyDescent="0.3">
      <c r="A29" s="1">
        <v>45514</v>
      </c>
      <c r="B29" t="s">
        <v>18</v>
      </c>
      <c r="C29" t="s">
        <v>10</v>
      </c>
      <c r="D29" t="s">
        <v>19</v>
      </c>
      <c r="E29">
        <v>79</v>
      </c>
      <c r="F29">
        <f t="shared" si="0"/>
        <v>1000</v>
      </c>
      <c r="G29">
        <f t="shared" si="1"/>
        <v>800</v>
      </c>
      <c r="H29">
        <f t="shared" si="2"/>
        <v>79000</v>
      </c>
      <c r="I29">
        <f t="shared" si="3"/>
        <v>15800</v>
      </c>
    </row>
    <row r="30" spans="1:9" x14ac:dyDescent="0.3">
      <c r="A30" s="1">
        <v>45771</v>
      </c>
      <c r="B30" t="s">
        <v>20</v>
      </c>
      <c r="C30" t="s">
        <v>13</v>
      </c>
      <c r="D30" t="s">
        <v>21</v>
      </c>
      <c r="E30">
        <v>85</v>
      </c>
      <c r="F30">
        <f t="shared" si="0"/>
        <v>50</v>
      </c>
      <c r="G30">
        <f t="shared" si="1"/>
        <v>25</v>
      </c>
      <c r="H30">
        <f t="shared" si="2"/>
        <v>4250</v>
      </c>
      <c r="I30">
        <f t="shared" si="3"/>
        <v>2125</v>
      </c>
    </row>
    <row r="31" spans="1:9" x14ac:dyDescent="0.3">
      <c r="A31" s="1">
        <v>45233</v>
      </c>
      <c r="B31" t="s">
        <v>9</v>
      </c>
      <c r="C31" t="s">
        <v>16</v>
      </c>
      <c r="D31" t="s">
        <v>22</v>
      </c>
      <c r="E31">
        <v>68</v>
      </c>
      <c r="F31">
        <f t="shared" si="0"/>
        <v>100</v>
      </c>
      <c r="G31">
        <f t="shared" si="1"/>
        <v>75</v>
      </c>
      <c r="H31">
        <f t="shared" si="2"/>
        <v>6800</v>
      </c>
      <c r="I31">
        <f t="shared" si="3"/>
        <v>1700</v>
      </c>
    </row>
    <row r="32" spans="1:9" x14ac:dyDescent="0.3">
      <c r="A32" s="1">
        <v>45632</v>
      </c>
      <c r="B32" t="s">
        <v>12</v>
      </c>
      <c r="C32" t="s">
        <v>23</v>
      </c>
      <c r="D32" t="s">
        <v>11</v>
      </c>
      <c r="E32">
        <v>78</v>
      </c>
      <c r="F32">
        <f t="shared" si="0"/>
        <v>5000</v>
      </c>
      <c r="G32">
        <f t="shared" si="1"/>
        <v>3000</v>
      </c>
      <c r="H32">
        <f t="shared" si="2"/>
        <v>390000</v>
      </c>
      <c r="I32">
        <f t="shared" si="3"/>
        <v>156000</v>
      </c>
    </row>
    <row r="33" spans="1:9" x14ac:dyDescent="0.3">
      <c r="A33" s="1">
        <v>45593</v>
      </c>
      <c r="B33" t="s">
        <v>15</v>
      </c>
      <c r="C33" t="s">
        <v>10</v>
      </c>
      <c r="D33" t="s">
        <v>14</v>
      </c>
      <c r="E33">
        <v>99</v>
      </c>
      <c r="F33">
        <f t="shared" si="0"/>
        <v>2000</v>
      </c>
      <c r="G33">
        <f t="shared" si="1"/>
        <v>1500</v>
      </c>
      <c r="H33">
        <f t="shared" si="2"/>
        <v>198000</v>
      </c>
      <c r="I33">
        <f t="shared" si="3"/>
        <v>49500</v>
      </c>
    </row>
    <row r="34" spans="1:9" x14ac:dyDescent="0.3">
      <c r="A34" s="1">
        <v>45883</v>
      </c>
      <c r="B34" t="s">
        <v>25</v>
      </c>
      <c r="C34" t="s">
        <v>13</v>
      </c>
      <c r="D34" t="s">
        <v>17</v>
      </c>
      <c r="E34">
        <v>68</v>
      </c>
      <c r="F34">
        <f t="shared" si="0"/>
        <v>500</v>
      </c>
      <c r="G34">
        <f t="shared" si="1"/>
        <v>450</v>
      </c>
      <c r="H34">
        <f t="shared" si="2"/>
        <v>34000</v>
      </c>
      <c r="I34">
        <f t="shared" si="3"/>
        <v>3400</v>
      </c>
    </row>
    <row r="35" spans="1:9" x14ac:dyDescent="0.3">
      <c r="A35" s="1">
        <v>45182</v>
      </c>
      <c r="B35" t="s">
        <v>20</v>
      </c>
      <c r="C35" t="s">
        <v>23</v>
      </c>
      <c r="D35" t="s">
        <v>19</v>
      </c>
      <c r="E35">
        <v>68</v>
      </c>
      <c r="F35">
        <f t="shared" si="0"/>
        <v>1000</v>
      </c>
      <c r="G35">
        <f t="shared" si="1"/>
        <v>800</v>
      </c>
      <c r="H35">
        <f t="shared" si="2"/>
        <v>68000</v>
      </c>
      <c r="I35">
        <f t="shared" si="3"/>
        <v>13600</v>
      </c>
    </row>
    <row r="36" spans="1:9" x14ac:dyDescent="0.3">
      <c r="A36" s="1">
        <v>45070</v>
      </c>
      <c r="B36" t="s">
        <v>9</v>
      </c>
      <c r="C36" t="s">
        <v>10</v>
      </c>
      <c r="D36" t="s">
        <v>21</v>
      </c>
      <c r="E36">
        <v>69</v>
      </c>
      <c r="F36">
        <f t="shared" si="0"/>
        <v>50</v>
      </c>
      <c r="G36">
        <f t="shared" si="1"/>
        <v>25</v>
      </c>
      <c r="H36">
        <f t="shared" si="2"/>
        <v>3450</v>
      </c>
      <c r="I36">
        <f t="shared" si="3"/>
        <v>1725</v>
      </c>
    </row>
    <row r="37" spans="1:9" x14ac:dyDescent="0.3">
      <c r="A37" s="1">
        <v>45135</v>
      </c>
      <c r="B37" t="s">
        <v>12</v>
      </c>
      <c r="C37" t="s">
        <v>13</v>
      </c>
      <c r="D37" t="s">
        <v>22</v>
      </c>
      <c r="E37">
        <v>50</v>
      </c>
      <c r="F37">
        <f t="shared" si="0"/>
        <v>100</v>
      </c>
      <c r="G37">
        <f t="shared" si="1"/>
        <v>75</v>
      </c>
      <c r="H37">
        <f t="shared" si="2"/>
        <v>5000</v>
      </c>
      <c r="I37">
        <f t="shared" si="3"/>
        <v>1250</v>
      </c>
    </row>
    <row r="38" spans="1:9" x14ac:dyDescent="0.3">
      <c r="A38" s="1">
        <v>45832</v>
      </c>
      <c r="B38" t="s">
        <v>15</v>
      </c>
      <c r="C38" t="s">
        <v>16</v>
      </c>
      <c r="D38" t="s">
        <v>11</v>
      </c>
      <c r="E38">
        <v>66</v>
      </c>
      <c r="F38">
        <f t="shared" si="0"/>
        <v>5000</v>
      </c>
      <c r="G38">
        <f t="shared" si="1"/>
        <v>3000</v>
      </c>
      <c r="H38">
        <f t="shared" si="2"/>
        <v>330000</v>
      </c>
      <c r="I38">
        <f t="shared" si="3"/>
        <v>132000</v>
      </c>
    </row>
    <row r="39" spans="1:9" x14ac:dyDescent="0.3">
      <c r="A39" s="1">
        <v>44981</v>
      </c>
      <c r="B39" t="s">
        <v>25</v>
      </c>
      <c r="C39" t="s">
        <v>23</v>
      </c>
      <c r="D39" t="s">
        <v>14</v>
      </c>
      <c r="E39">
        <v>62</v>
      </c>
      <c r="F39">
        <f t="shared" si="0"/>
        <v>2000</v>
      </c>
      <c r="G39">
        <f t="shared" si="1"/>
        <v>1500</v>
      </c>
      <c r="H39">
        <f t="shared" si="2"/>
        <v>124000</v>
      </c>
      <c r="I39">
        <f t="shared" si="3"/>
        <v>31000</v>
      </c>
    </row>
    <row r="40" spans="1:9" x14ac:dyDescent="0.3">
      <c r="A40" s="1">
        <v>45266</v>
      </c>
      <c r="B40" t="s">
        <v>18</v>
      </c>
      <c r="C40" t="s">
        <v>10</v>
      </c>
      <c r="D40" t="s">
        <v>17</v>
      </c>
      <c r="E40">
        <v>55</v>
      </c>
      <c r="F40">
        <f t="shared" si="0"/>
        <v>500</v>
      </c>
      <c r="G40">
        <f t="shared" si="1"/>
        <v>450</v>
      </c>
      <c r="H40">
        <f t="shared" si="2"/>
        <v>27500</v>
      </c>
      <c r="I40">
        <f t="shared" si="3"/>
        <v>2750</v>
      </c>
    </row>
    <row r="41" spans="1:9" x14ac:dyDescent="0.3">
      <c r="A41" s="1">
        <v>45350</v>
      </c>
      <c r="B41" t="s">
        <v>9</v>
      </c>
      <c r="C41" t="s">
        <v>16</v>
      </c>
      <c r="D41" t="s">
        <v>19</v>
      </c>
      <c r="E41">
        <v>65</v>
      </c>
      <c r="F41">
        <f t="shared" si="0"/>
        <v>1000</v>
      </c>
      <c r="G41">
        <f t="shared" si="1"/>
        <v>800</v>
      </c>
      <c r="H41">
        <f t="shared" si="2"/>
        <v>65000</v>
      </c>
      <c r="I41">
        <f t="shared" si="3"/>
        <v>13000</v>
      </c>
    </row>
    <row r="42" spans="1:9" x14ac:dyDescent="0.3">
      <c r="A42" s="1">
        <v>45141</v>
      </c>
      <c r="B42" t="s">
        <v>12</v>
      </c>
      <c r="C42" t="s">
        <v>23</v>
      </c>
      <c r="D42" t="s">
        <v>21</v>
      </c>
      <c r="E42">
        <v>76</v>
      </c>
      <c r="F42">
        <f t="shared" si="0"/>
        <v>50</v>
      </c>
      <c r="G42">
        <f t="shared" si="1"/>
        <v>25</v>
      </c>
      <c r="H42">
        <f t="shared" si="2"/>
        <v>3800</v>
      </c>
      <c r="I42">
        <f t="shared" si="3"/>
        <v>1900</v>
      </c>
    </row>
    <row r="43" spans="1:9" x14ac:dyDescent="0.3">
      <c r="A43" s="1">
        <v>45420</v>
      </c>
      <c r="B43" t="s">
        <v>15</v>
      </c>
      <c r="C43" t="s">
        <v>10</v>
      </c>
      <c r="D43" t="s">
        <v>22</v>
      </c>
      <c r="E43">
        <v>60</v>
      </c>
      <c r="F43">
        <f t="shared" si="0"/>
        <v>100</v>
      </c>
      <c r="G43">
        <f t="shared" si="1"/>
        <v>75</v>
      </c>
      <c r="H43">
        <f t="shared" si="2"/>
        <v>6000</v>
      </c>
      <c r="I43">
        <f t="shared" si="3"/>
        <v>1500</v>
      </c>
    </row>
    <row r="44" spans="1:9" x14ac:dyDescent="0.3">
      <c r="A44" s="1">
        <v>45998</v>
      </c>
      <c r="B44" t="s">
        <v>25</v>
      </c>
      <c r="C44" t="s">
        <v>13</v>
      </c>
      <c r="D44" t="s">
        <v>11</v>
      </c>
      <c r="E44">
        <v>53</v>
      </c>
      <c r="F44">
        <f t="shared" si="0"/>
        <v>5000</v>
      </c>
      <c r="G44">
        <f t="shared" si="1"/>
        <v>3000</v>
      </c>
      <c r="H44">
        <f t="shared" si="2"/>
        <v>265000</v>
      </c>
      <c r="I44">
        <f t="shared" si="3"/>
        <v>106000</v>
      </c>
    </row>
    <row r="45" spans="1:9" x14ac:dyDescent="0.3">
      <c r="A45" s="1">
        <v>45888</v>
      </c>
      <c r="B45" t="s">
        <v>18</v>
      </c>
      <c r="C45" t="s">
        <v>16</v>
      </c>
      <c r="D45" t="s">
        <v>14</v>
      </c>
      <c r="E45">
        <v>78</v>
      </c>
      <c r="F45">
        <f t="shared" si="0"/>
        <v>2000</v>
      </c>
      <c r="G45">
        <f t="shared" si="1"/>
        <v>1500</v>
      </c>
      <c r="H45">
        <f t="shared" si="2"/>
        <v>156000</v>
      </c>
      <c r="I45">
        <f t="shared" si="3"/>
        <v>39000</v>
      </c>
    </row>
    <row r="46" spans="1:9" x14ac:dyDescent="0.3">
      <c r="A46" s="1">
        <v>45383</v>
      </c>
      <c r="B46" t="s">
        <v>20</v>
      </c>
      <c r="C46" t="s">
        <v>23</v>
      </c>
      <c r="D46" t="s">
        <v>17</v>
      </c>
      <c r="E46">
        <v>78</v>
      </c>
      <c r="F46">
        <f t="shared" si="0"/>
        <v>500</v>
      </c>
      <c r="G46">
        <f t="shared" si="1"/>
        <v>450</v>
      </c>
      <c r="H46">
        <f t="shared" si="2"/>
        <v>39000</v>
      </c>
      <c r="I46">
        <f t="shared" si="3"/>
        <v>3900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D7A1-1AD3-4C28-BC79-460C9FA070A2}">
  <dimension ref="A3:H10"/>
  <sheetViews>
    <sheetView zoomScale="73" workbookViewId="0">
      <selection activeCell="J14" sqref="J14"/>
    </sheetView>
  </sheetViews>
  <sheetFormatPr defaultRowHeight="14.4" x14ac:dyDescent="0.3"/>
  <cols>
    <col min="1" max="1" width="13.33203125" bestFit="1" customWidth="1"/>
    <col min="2" max="2" width="18.6640625" bestFit="1" customWidth="1"/>
    <col min="3" max="3" width="13.33203125" bestFit="1" customWidth="1"/>
    <col min="4" max="4" width="18.6640625" bestFit="1" customWidth="1"/>
    <col min="5" max="5" width="16.77734375" bestFit="1" customWidth="1"/>
    <col min="6" max="6" width="18.6640625" bestFit="1" customWidth="1"/>
    <col min="7" max="7" width="16.77734375" bestFit="1" customWidth="1"/>
    <col min="8" max="8" width="17.77734375" bestFit="1" customWidth="1"/>
  </cols>
  <sheetData>
    <row r="3" spans="1:8" x14ac:dyDescent="0.3">
      <c r="A3" s="4" t="s">
        <v>26</v>
      </c>
      <c r="B3" t="s">
        <v>28</v>
      </c>
      <c r="C3" s="4" t="s">
        <v>26</v>
      </c>
      <c r="D3" t="s">
        <v>28</v>
      </c>
      <c r="E3" s="4" t="s">
        <v>26</v>
      </c>
      <c r="F3" t="s">
        <v>28</v>
      </c>
      <c r="G3" s="4" t="s">
        <v>29</v>
      </c>
      <c r="H3" t="s">
        <v>30</v>
      </c>
    </row>
    <row r="4" spans="1:8" x14ac:dyDescent="0.3">
      <c r="A4" s="5" t="s">
        <v>9</v>
      </c>
      <c r="B4">
        <v>1270250</v>
      </c>
      <c r="C4" s="5" t="s">
        <v>23</v>
      </c>
      <c r="D4">
        <v>1333500</v>
      </c>
      <c r="E4" s="5" t="s">
        <v>17</v>
      </c>
      <c r="F4">
        <v>287500</v>
      </c>
      <c r="G4" s="5" t="s">
        <v>19</v>
      </c>
      <c r="H4">
        <v>536</v>
      </c>
    </row>
    <row r="5" spans="1:8" x14ac:dyDescent="0.3">
      <c r="A5" s="5" t="s">
        <v>12</v>
      </c>
      <c r="B5">
        <v>1264300</v>
      </c>
      <c r="C5" s="5" t="s">
        <v>10</v>
      </c>
      <c r="D5">
        <v>1436400</v>
      </c>
      <c r="E5" s="5" t="s">
        <v>11</v>
      </c>
      <c r="F5">
        <v>3270000</v>
      </c>
      <c r="G5" s="5" t="s">
        <v>17</v>
      </c>
      <c r="H5">
        <v>575</v>
      </c>
    </row>
    <row r="6" spans="1:8" x14ac:dyDescent="0.3">
      <c r="A6" s="5" t="s">
        <v>18</v>
      </c>
      <c r="B6">
        <v>833650</v>
      </c>
      <c r="C6" s="5" t="s">
        <v>13</v>
      </c>
      <c r="D6">
        <v>1278150</v>
      </c>
      <c r="E6" s="5" t="s">
        <v>19</v>
      </c>
      <c r="F6">
        <v>536000</v>
      </c>
      <c r="G6" s="5" t="s">
        <v>14</v>
      </c>
      <c r="H6">
        <v>609</v>
      </c>
    </row>
    <row r="7" spans="1:8" x14ac:dyDescent="0.3">
      <c r="A7" s="5" t="s">
        <v>20</v>
      </c>
      <c r="B7">
        <v>622350</v>
      </c>
      <c r="C7" s="5" t="s">
        <v>16</v>
      </c>
      <c r="D7">
        <v>1340800</v>
      </c>
      <c r="E7" s="5" t="s">
        <v>14</v>
      </c>
      <c r="F7">
        <v>1218000</v>
      </c>
      <c r="G7" s="5" t="s">
        <v>22</v>
      </c>
      <c r="H7">
        <v>497</v>
      </c>
    </row>
    <row r="8" spans="1:8" x14ac:dyDescent="0.3">
      <c r="A8" s="5" t="s">
        <v>25</v>
      </c>
      <c r="B8">
        <v>586800</v>
      </c>
      <c r="C8" s="5" t="s">
        <v>27</v>
      </c>
      <c r="D8">
        <v>5388850</v>
      </c>
      <c r="E8" s="5" t="s">
        <v>21</v>
      </c>
      <c r="F8">
        <v>27650</v>
      </c>
      <c r="G8" s="5" t="s">
        <v>11</v>
      </c>
      <c r="H8">
        <v>654</v>
      </c>
    </row>
    <row r="9" spans="1:8" x14ac:dyDescent="0.3">
      <c r="A9" s="5" t="s">
        <v>15</v>
      </c>
      <c r="B9">
        <v>811500</v>
      </c>
      <c r="E9" s="5" t="s">
        <v>22</v>
      </c>
      <c r="F9">
        <v>49700</v>
      </c>
      <c r="G9" s="5" t="s">
        <v>21</v>
      </c>
      <c r="H9">
        <v>553</v>
      </c>
    </row>
    <row r="10" spans="1:8" x14ac:dyDescent="0.3">
      <c r="A10" s="5" t="s">
        <v>27</v>
      </c>
      <c r="B10">
        <v>5388850</v>
      </c>
      <c r="E10" s="5" t="s">
        <v>27</v>
      </c>
      <c r="F10">
        <v>5388850</v>
      </c>
      <c r="G10" s="5" t="s">
        <v>27</v>
      </c>
      <c r="H10">
        <v>3424</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 AND 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NIMAH MAJEED</dc:creator>
  <cp:lastModifiedBy>NIMAH MAJEED</cp:lastModifiedBy>
  <dcterms:created xsi:type="dcterms:W3CDTF">2024-11-28T20:11:59Z</dcterms:created>
  <dcterms:modified xsi:type="dcterms:W3CDTF">2025-12-15T07:38:23Z</dcterms:modified>
</cp:coreProperties>
</file>